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B6124F1A-AFFB-F854-7757-9A1D4C6FC43C}"/>
  <workbookPr codeName="ThisWorkbook"/>
  <mc:AlternateContent xmlns:mc="http://schemas.openxmlformats.org/markup-compatibility/2006">
    <mc:Choice Requires="x15">
      <x15ac:absPath xmlns:x15ac="http://schemas.microsoft.com/office/spreadsheetml/2010/11/ac" url="C:\Users\pedro.arrieta\Desktop\proyectos\digitalizacion de hoja de excel\"/>
    </mc:Choice>
  </mc:AlternateContent>
  <xr:revisionPtr revIDLastSave="0" documentId="8_{BEEE6FA5-3C7A-40AF-822A-29A5628F5D73}" xr6:coauthVersionLast="47" xr6:coauthVersionMax="47" xr10:uidLastSave="{00000000-0000-0000-0000-000000000000}"/>
  <bookViews>
    <workbookView xWindow="-120" yWindow="-120" windowWidth="29040" windowHeight="15840" tabRatio="927" firstSheet="5" activeTab="5" xr2:uid="{00000000-000D-0000-FFFF-FFFF00000000}"/>
  </bookViews>
  <sheets>
    <sheet name="FORMULARIO" sheetId="19" state="hidden" r:id="rId1"/>
    <sheet name="DATOS" sheetId="20" state="hidden" r:id="rId2"/>
    <sheet name="Cumplimiento" sheetId="27" state="hidden" r:id="rId3"/>
    <sheet name="Nacionalidad" sheetId="26" state="hidden" r:id="rId4"/>
    <sheet name="Cumplimiento File" sheetId="28" state="hidden" r:id="rId5"/>
    <sheet name="CTC Pers. Natural" sheetId="30" r:id="rId6"/>
    <sheet name="REQUISITOS DEBIDA DILIGENCIA" sheetId="32" r:id="rId7"/>
    <sheet name="PORTADA FILE VENTAS" sheetId="6" r:id="rId8"/>
    <sheet name="CONTRATO AUT COMO ESTA " sheetId="48" r:id="rId9"/>
    <sheet name="DECLARACION DOMICILIO " sheetId="41" r:id="rId10"/>
    <sheet name="DECLARACION ACTIVIDAD" sheetId="42" r:id="rId11"/>
    <sheet name="PAGO FAMILIARES" sheetId="43" r:id="rId12"/>
    <sheet name="PAGO TERCEROS" sheetId="44" r:id="rId13"/>
    <sheet name="RTE Pers. Natural" sheetId="22" state="hidden" r:id="rId14"/>
    <sheet name="TRASPASO PN" sheetId="46" r:id="rId15"/>
    <sheet name="TRASPASO PJ" sheetId="47" r:id="rId16"/>
    <sheet name="FILE DOC AUTO" sheetId="18" state="hidden" r:id="rId17"/>
    <sheet name="REC CONF - EXONER." sheetId="29" r:id="rId18"/>
    <sheet name="AUT TRAS RDLG MUNIC" sheetId="14" r:id="rId19"/>
    <sheet name="Hoja2" sheetId="49" r:id="rId20"/>
    <sheet name="Hoja3" sheetId="50" r:id="rId21"/>
    <sheet name="AUT TRAS RDLG REG" sheetId="9" r:id="rId22"/>
    <sheet name="DETALLE TRANSACCION PAGO" sheetId="23" r:id="rId23"/>
    <sheet name="CATÁLOGO" sheetId="31" r:id="rId24"/>
    <sheet name="Sheet8" sheetId="40" r:id="rId25"/>
  </sheets>
  <definedNames>
    <definedName name="_xlnm._FilterDatabase" localSheetId="5" hidden="1">'CTC Pers. Natural'!$A$9:$H$26</definedName>
    <definedName name="_xlnm._FilterDatabase" localSheetId="3" hidden="1">Nacionalidad!$A$1:$L$390</definedName>
    <definedName name="_xlnm.Print_Area" localSheetId="8">'CONTRATO AUT COMO ESTA '!$A$1:$G$47</definedName>
    <definedName name="_xlnm.Print_Area" localSheetId="5">'CTC Pers. Natural'!$A$1:$H$96</definedName>
    <definedName name="_xlnm.Print_Area" localSheetId="10">'DECLARACION ACTIVIDAD'!$A$1:$H$34</definedName>
    <definedName name="_xlnm.Print_Area" localSheetId="9">'DECLARACION DOMICILIO '!$A$1:$H$32</definedName>
    <definedName name="_xlnm.Print_Area" localSheetId="16">'FILE DOC AUTO'!$A$1:$E$51</definedName>
    <definedName name="_xlnm.Print_Area" localSheetId="11">'PAGO FAMILIARES'!$A$1:$H$38</definedName>
    <definedName name="_xlnm.Print_Area" localSheetId="12">'PAGO TERCEROS'!$A$1:$H$38</definedName>
    <definedName name="_xlnm.Print_Area" localSheetId="7">'PORTADA FILE VENTAS'!$A$1:$E$66</definedName>
    <definedName name="_xlnm.Print_Area" localSheetId="13">'RTE Pers. Natural'!$A$1:$I$58</definedName>
    <definedName name="_xlnm.Print_Area" localSheetId="15">'TRASPASO PJ'!$A$1:$H$30</definedName>
    <definedName name="_xlnm.Print_Area" localSheetId="14">'TRASPASO PN'!$A$1:$H$31</definedName>
    <definedName name="Pais">DATOS!$J$2:$J$195</definedName>
    <definedName name="Vendedor">DATOS!$D$2:$D$11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47" l="1"/>
  <c r="C5" i="6"/>
  <c r="B15" i="41"/>
  <c r="B26" i="14"/>
  <c r="B25" i="14"/>
  <c r="B24" i="14"/>
  <c r="B23" i="14"/>
  <c r="B22" i="14"/>
  <c r="B20" i="14"/>
  <c r="B19" i="14"/>
  <c r="G9" i="29"/>
  <c r="C9" i="29"/>
  <c r="H18" i="47"/>
  <c r="A18" i="47"/>
  <c r="A17" i="47"/>
  <c r="A17" i="46"/>
  <c r="H18" i="46"/>
  <c r="F18" i="46"/>
  <c r="A18" i="46"/>
  <c r="A16" i="42"/>
  <c r="C10" i="48"/>
  <c r="A16" i="41"/>
  <c r="L8" i="29"/>
  <c r="C18" i="47"/>
  <c r="F18" i="42"/>
  <c r="I8" i="29"/>
  <c r="B18" i="42"/>
  <c r="E22" i="44"/>
  <c r="E22" i="43"/>
  <c r="C18" i="46"/>
  <c r="B19" i="42"/>
  <c r="H18" i="42"/>
  <c r="M7" i="29"/>
  <c r="E17" i="47"/>
  <c r="E17" i="46"/>
  <c r="A18" i="44"/>
  <c r="A18" i="43"/>
  <c r="B7" i="29" l="1"/>
  <c r="B16" i="47"/>
  <c r="B16" i="46"/>
  <c r="B17" i="44"/>
  <c r="B17" i="43"/>
  <c r="B15" i="42"/>
  <c r="B20" i="48"/>
  <c r="B18" i="48"/>
  <c r="B17" i="48"/>
  <c r="C56" i="6" a="1"/>
  <c r="C56" i="6" s="1"/>
  <c r="C51" i="6" a="1"/>
  <c r="C51" i="6" s="1"/>
  <c r="C46" i="6" a="1"/>
  <c r="C46" i="6" s="1"/>
  <c r="B24" i="48"/>
  <c r="B23" i="48"/>
  <c r="B21" i="48"/>
  <c r="C9" i="48"/>
  <c r="A38" i="48" l="1"/>
  <c r="B22" i="48"/>
  <c r="A39" i="48"/>
  <c r="E30" i="48"/>
  <c r="A1" i="47" l="1"/>
  <c r="A1" i="46"/>
  <c r="A1" i="44"/>
  <c r="A1" i="43"/>
  <c r="A1" i="42" l="1"/>
  <c r="A1" i="41"/>
  <c r="B67" i="30" l="1"/>
  <c r="B66" i="30"/>
  <c r="B65" i="30"/>
  <c r="H90" i="30"/>
  <c r="F90" i="30"/>
  <c r="D18" i="6"/>
  <c r="D19" i="6"/>
  <c r="D20" i="6"/>
  <c r="C17" i="19"/>
  <c r="C12" i="19"/>
  <c r="C10" i="19"/>
  <c r="C16" i="19"/>
  <c r="A1" i="22" l="1"/>
  <c r="A1" i="30"/>
  <c r="H88" i="30"/>
  <c r="F88" i="30"/>
  <c r="D17" i="6" l="1"/>
  <c r="I34" i="19" l="1"/>
  <c r="I33" i="19"/>
  <c r="L4" i="29" l="1"/>
  <c r="K4" i="29"/>
  <c r="F8" i="9"/>
  <c r="E8" i="9"/>
  <c r="I28" i="19" l="1"/>
  <c r="E10" i="29" l="1"/>
  <c r="J9" i="29"/>
  <c r="G43" i="27"/>
  <c r="H43" i="27" s="1"/>
  <c r="A80" i="27"/>
  <c r="H80" i="27" s="1"/>
  <c r="A81" i="27"/>
  <c r="H81" i="27" s="1"/>
  <c r="A82" i="27"/>
  <c r="H82" i="27" s="1"/>
  <c r="A83" i="27"/>
  <c r="H83" i="27" s="1"/>
  <c r="A84" i="27"/>
  <c r="H84" i="27" s="1"/>
  <c r="D79" i="27"/>
  <c r="I79" i="27" s="1"/>
  <c r="G45" i="27"/>
  <c r="H45" i="27" s="1"/>
  <c r="D60" i="27"/>
  <c r="G54" i="27"/>
  <c r="H54" i="27" s="1"/>
  <c r="D58" i="27"/>
  <c r="C37" i="27"/>
  <c r="F37" i="27" s="1"/>
  <c r="C72" i="27"/>
  <c r="F72" i="27" s="1"/>
  <c r="C73" i="27"/>
  <c r="F73" i="27" s="1"/>
  <c r="C74" i="27"/>
  <c r="F74" i="27" s="1"/>
  <c r="C67" i="27"/>
  <c r="F67" i="27" s="1"/>
  <c r="C68" i="27"/>
  <c r="F68" i="27" s="1"/>
  <c r="C69" i="27"/>
  <c r="F69" i="27" s="1"/>
  <c r="C70" i="27"/>
  <c r="F70" i="27" s="1"/>
  <c r="C62" i="27"/>
  <c r="F62" i="27" s="1"/>
  <c r="C63" i="27"/>
  <c r="F63" i="27" s="1"/>
  <c r="C64" i="27"/>
  <c r="F64" i="27" s="1"/>
  <c r="C65" i="27"/>
  <c r="F65" i="27" s="1"/>
  <c r="C75" i="27"/>
  <c r="F75" i="27" s="1"/>
  <c r="D80" i="27"/>
  <c r="I80" i="27" s="1"/>
  <c r="D81" i="27"/>
  <c r="I81" i="27" s="1"/>
  <c r="D82" i="27"/>
  <c r="I82" i="27" s="1"/>
  <c r="D83" i="27"/>
  <c r="I83" i="27" s="1"/>
  <c r="D84" i="27"/>
  <c r="I84" i="27" s="1"/>
  <c r="B46" i="28"/>
  <c r="B40" i="28"/>
  <c r="C27" i="27"/>
  <c r="F27" i="27" s="1"/>
  <c r="C28" i="27"/>
  <c r="F28" i="27" s="1"/>
  <c r="C29" i="27"/>
  <c r="F29" i="27" s="1"/>
  <c r="C18" i="27"/>
  <c r="F18" i="27" s="1"/>
  <c r="A79" i="27"/>
  <c r="H79" i="27" s="1"/>
  <c r="G50" i="27"/>
  <c r="H50" i="27" s="1"/>
  <c r="C58" i="27"/>
  <c r="C48" i="27"/>
  <c r="H48" i="27" s="1"/>
  <c r="C60" i="27"/>
  <c r="C39" i="27"/>
  <c r="F39" i="27" s="1"/>
  <c r="C38" i="18"/>
  <c r="C5" i="23"/>
  <c r="C5" i="18"/>
  <c r="B6" i="28"/>
  <c r="J27" i="28"/>
  <c r="K61" i="28" s="1"/>
  <c r="H61" i="28"/>
  <c r="H60" i="28"/>
  <c r="H59" i="28"/>
  <c r="F61" i="28"/>
  <c r="F60" i="28"/>
  <c r="F59" i="28"/>
  <c r="D59" i="28"/>
  <c r="B61" i="28"/>
  <c r="B60" i="28"/>
  <c r="B59" i="28"/>
  <c r="C32" i="27"/>
  <c r="F32" i="27" s="1"/>
  <c r="C33" i="27"/>
  <c r="F33" i="27" s="1"/>
  <c r="C34" i="27"/>
  <c r="F34" i="27" s="1"/>
  <c r="C35" i="27"/>
  <c r="F35" i="27" s="1"/>
  <c r="C36" i="27"/>
  <c r="F36" i="27" s="1"/>
  <c r="C38" i="27"/>
  <c r="F38" i="27" s="1"/>
  <c r="C8" i="27"/>
  <c r="F8" i="27" s="1"/>
  <c r="C9" i="27"/>
  <c r="F9" i="27" s="1"/>
  <c r="C10" i="27"/>
  <c r="F10" i="27" s="1"/>
  <c r="C11" i="27"/>
  <c r="F11" i="27" s="1"/>
  <c r="C13" i="27"/>
  <c r="F13" i="27" s="1"/>
  <c r="C14" i="27"/>
  <c r="F14" i="27" s="1"/>
  <c r="C15" i="27"/>
  <c r="F15" i="27" s="1"/>
  <c r="C17" i="27"/>
  <c r="F17" i="27" s="1"/>
  <c r="C22" i="27"/>
  <c r="F22" i="27" s="1"/>
  <c r="C23" i="27"/>
  <c r="F23" i="27" s="1"/>
  <c r="C24" i="27"/>
  <c r="F24" i="27" s="1"/>
  <c r="C25" i="27"/>
  <c r="F25" i="27" s="1"/>
  <c r="C26" i="27"/>
  <c r="F26" i="27" s="1"/>
  <c r="C30" i="27"/>
  <c r="F30" i="27" s="1"/>
  <c r="B13" i="28"/>
  <c r="B12" i="28"/>
  <c r="B11" i="28"/>
  <c r="B10" i="28"/>
  <c r="B9" i="28"/>
  <c r="B8" i="28"/>
  <c r="B7" i="28"/>
  <c r="G27" i="28"/>
  <c r="A86" i="27"/>
  <c r="H86" i="27" s="1"/>
  <c r="G60" i="27"/>
  <c r="F60" i="27"/>
  <c r="G58" i="27"/>
  <c r="F58" i="27"/>
  <c r="C55" i="27"/>
  <c r="G53" i="27"/>
  <c r="H53" i="27" s="1"/>
  <c r="G51" i="27"/>
  <c r="H51" i="27" s="1"/>
  <c r="G46" i="27"/>
  <c r="H46" i="27" s="1"/>
  <c r="G42" i="27"/>
  <c r="H42" i="27" s="1"/>
  <c r="C12" i="27"/>
  <c r="F12" i="27" s="1"/>
  <c r="C16" i="27"/>
  <c r="F16" i="27" s="1"/>
  <c r="C19" i="27"/>
  <c r="F19" i="27" s="1"/>
  <c r="C20" i="27"/>
  <c r="F20" i="27" s="1"/>
  <c r="C21" i="27"/>
  <c r="F21" i="27"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J193" i="26" s="1"/>
  <c r="H192" i="26"/>
  <c r="J192" i="26" s="1"/>
  <c r="H191" i="26"/>
  <c r="J191" i="26" s="1"/>
  <c r="H190" i="26"/>
  <c r="I190" i="26" s="1"/>
  <c r="J190" i="26"/>
  <c r="H189" i="26"/>
  <c r="J189" i="26"/>
  <c r="I189" i="26"/>
  <c r="H188" i="26"/>
  <c r="I188" i="26" s="1"/>
  <c r="H187" i="26"/>
  <c r="I187" i="26" s="1"/>
  <c r="H186" i="26"/>
  <c r="I186" i="26" s="1"/>
  <c r="J186" i="26"/>
  <c r="H185" i="26"/>
  <c r="J185" i="26" s="1"/>
  <c r="H184" i="26"/>
  <c r="J184" i="26" s="1"/>
  <c r="H183" i="26"/>
  <c r="J183" i="26" s="1"/>
  <c r="H182" i="26"/>
  <c r="J182" i="26" s="1"/>
  <c r="H181" i="26"/>
  <c r="J181" i="26"/>
  <c r="I181" i="26"/>
  <c r="H180" i="26"/>
  <c r="I180" i="26" s="1"/>
  <c r="H179" i="26"/>
  <c r="I179" i="26" s="1"/>
  <c r="H178" i="26"/>
  <c r="I178" i="26" s="1"/>
  <c r="H177" i="26"/>
  <c r="J177" i="26" s="1"/>
  <c r="H176" i="26"/>
  <c r="J176" i="26" s="1"/>
  <c r="H175" i="26"/>
  <c r="J175" i="26" s="1"/>
  <c r="H174" i="26"/>
  <c r="J174" i="26"/>
  <c r="I174" i="26"/>
  <c r="H173" i="26"/>
  <c r="J173" i="26" s="1"/>
  <c r="H172" i="26"/>
  <c r="I172" i="26" s="1"/>
  <c r="H171" i="26"/>
  <c r="I171" i="26" s="1"/>
  <c r="J171" i="26"/>
  <c r="H170" i="26"/>
  <c r="I170" i="26" s="1"/>
  <c r="J170" i="26"/>
  <c r="H169" i="26"/>
  <c r="J169" i="26" s="1"/>
  <c r="H168" i="26"/>
  <c r="J168" i="26" s="1"/>
  <c r="H167" i="26"/>
  <c r="J167" i="26" s="1"/>
  <c r="H166" i="26"/>
  <c r="J166" i="26" s="1"/>
  <c r="H165" i="26"/>
  <c r="I165" i="26" s="1"/>
  <c r="J165" i="26"/>
  <c r="H164" i="26"/>
  <c r="I164" i="26" s="1"/>
  <c r="J164" i="26"/>
  <c r="H163" i="26"/>
  <c r="I163" i="26" s="1"/>
  <c r="H162" i="26"/>
  <c r="I162" i="26" s="1"/>
  <c r="J162" i="26"/>
  <c r="H161" i="26"/>
  <c r="J161" i="26" s="1"/>
  <c r="H160" i="26"/>
  <c r="J160" i="26" s="1"/>
  <c r="H159" i="26"/>
  <c r="J159" i="26" s="1"/>
  <c r="H158" i="26"/>
  <c r="I158" i="26" s="1"/>
  <c r="J158" i="26"/>
  <c r="H157" i="26"/>
  <c r="J157" i="26" s="1"/>
  <c r="H156" i="26"/>
  <c r="I156" i="26" s="1"/>
  <c r="J156" i="26"/>
  <c r="H155" i="26"/>
  <c r="I155" i="26" s="1"/>
  <c r="J155" i="26"/>
  <c r="H154" i="26"/>
  <c r="I154" i="26" s="1"/>
  <c r="J154" i="26"/>
  <c r="H153" i="26"/>
  <c r="J153" i="26" s="1"/>
  <c r="H152" i="26"/>
  <c r="J152" i="26" s="1"/>
  <c r="H151" i="26"/>
  <c r="J151" i="26" s="1"/>
  <c r="H150" i="26"/>
  <c r="J150" i="26"/>
  <c r="I150" i="26"/>
  <c r="H149" i="26"/>
  <c r="I149" i="26" s="1"/>
  <c r="J149" i="26"/>
  <c r="H148" i="26"/>
  <c r="I148" i="26" s="1"/>
  <c r="H147" i="26"/>
  <c r="I147" i="26" s="1"/>
  <c r="J147" i="26"/>
  <c r="H146" i="26"/>
  <c r="I146" i="26" s="1"/>
  <c r="H145" i="26"/>
  <c r="J145" i="26" s="1"/>
  <c r="H144" i="26"/>
  <c r="J144" i="26" s="1"/>
  <c r="H143" i="26"/>
  <c r="J143" i="26" s="1"/>
  <c r="H142" i="26"/>
  <c r="J142" i="26"/>
  <c r="I142" i="26"/>
  <c r="H141" i="26"/>
  <c r="J141" i="26" s="1"/>
  <c r="H140" i="26"/>
  <c r="I140" i="26" s="1"/>
  <c r="J140" i="26"/>
  <c r="H139" i="26"/>
  <c r="I139" i="26" s="1"/>
  <c r="J139" i="26"/>
  <c r="H138" i="26"/>
  <c r="I138" i="26" s="1"/>
  <c r="J138" i="26"/>
  <c r="H137" i="26"/>
  <c r="J137" i="26" s="1"/>
  <c r="H136" i="26"/>
  <c r="J136" i="26" s="1"/>
  <c r="H135" i="26"/>
  <c r="J135" i="26" s="1"/>
  <c r="H134" i="26"/>
  <c r="J134" i="26" s="1"/>
  <c r="H133" i="26"/>
  <c r="I133" i="26" s="1"/>
  <c r="J133" i="26"/>
  <c r="H132" i="26"/>
  <c r="I132" i="26" s="1"/>
  <c r="J132" i="26"/>
  <c r="H131" i="26"/>
  <c r="I131" i="26" s="1"/>
  <c r="H130" i="26"/>
  <c r="I130" i="26" s="1"/>
  <c r="J130" i="26"/>
  <c r="H129" i="26"/>
  <c r="J129" i="26" s="1"/>
  <c r="H128" i="26"/>
  <c r="J128" i="26" s="1"/>
  <c r="H127" i="26"/>
  <c r="J127" i="26" s="1"/>
  <c r="H126" i="26"/>
  <c r="I126" i="26" s="1"/>
  <c r="J126" i="26"/>
  <c r="H125" i="26"/>
  <c r="J125" i="26"/>
  <c r="I125" i="26"/>
  <c r="H124" i="26"/>
  <c r="I124" i="26" s="1"/>
  <c r="J124" i="26"/>
  <c r="H123" i="26"/>
  <c r="I123" i="26" s="1"/>
  <c r="H122" i="26"/>
  <c r="I122" i="26" s="1"/>
  <c r="H121" i="26"/>
  <c r="J121" i="26" s="1"/>
  <c r="H120" i="26"/>
  <c r="J120" i="26" s="1"/>
  <c r="H119" i="26"/>
  <c r="J119" i="26" s="1"/>
  <c r="H118" i="26"/>
  <c r="I118" i="26" s="1"/>
  <c r="J118" i="26"/>
  <c r="H117" i="26"/>
  <c r="J117" i="26" s="1"/>
  <c r="I117" i="26"/>
  <c r="H116" i="26"/>
  <c r="I116" i="26" s="1"/>
  <c r="H115" i="26"/>
  <c r="I115" i="26" s="1"/>
  <c r="J115" i="26"/>
  <c r="H114" i="26"/>
  <c r="I114" i="26" s="1"/>
  <c r="H113" i="26"/>
  <c r="J113" i="26" s="1"/>
  <c r="H112" i="26"/>
  <c r="J112" i="26" s="1"/>
  <c r="H111" i="26"/>
  <c r="J111" i="26" s="1"/>
  <c r="H110" i="26"/>
  <c r="J110" i="26"/>
  <c r="I110" i="26"/>
  <c r="H109" i="26"/>
  <c r="J109" i="26" s="1"/>
  <c r="H108" i="26"/>
  <c r="I108" i="26" s="1"/>
  <c r="H107" i="26"/>
  <c r="I107" i="26" s="1"/>
  <c r="H106" i="26"/>
  <c r="I106" i="26" s="1"/>
  <c r="J106" i="26"/>
  <c r="H105" i="26"/>
  <c r="J105" i="26" s="1"/>
  <c r="H104" i="26"/>
  <c r="J104" i="26" s="1"/>
  <c r="H103" i="26"/>
  <c r="J103" i="26" s="1"/>
  <c r="H102" i="26"/>
  <c r="J102" i="26" s="1"/>
  <c r="H101" i="26"/>
  <c r="I101" i="26" s="1"/>
  <c r="H100" i="26"/>
  <c r="I100" i="26" s="1"/>
  <c r="J100" i="26"/>
  <c r="H99" i="26"/>
  <c r="I99" i="26" s="1"/>
  <c r="H98" i="26"/>
  <c r="I98" i="26" s="1"/>
  <c r="J98" i="26"/>
  <c r="H97" i="26"/>
  <c r="J97" i="26" s="1"/>
  <c r="H96" i="26"/>
  <c r="J96" i="26" s="1"/>
  <c r="H95" i="26"/>
  <c r="J95" i="26" s="1"/>
  <c r="H94" i="26"/>
  <c r="I94" i="26" s="1"/>
  <c r="J94" i="26"/>
  <c r="H93" i="26"/>
  <c r="J93" i="26"/>
  <c r="I93" i="26"/>
  <c r="H92" i="26"/>
  <c r="I92" i="26" s="1"/>
  <c r="H91" i="26"/>
  <c r="I91" i="26" s="1"/>
  <c r="J91" i="26"/>
  <c r="H90" i="26"/>
  <c r="I90" i="26" s="1"/>
  <c r="J90" i="26"/>
  <c r="H89" i="26"/>
  <c r="J89" i="26" s="1"/>
  <c r="H88" i="26"/>
  <c r="J88" i="26" s="1"/>
  <c r="H87" i="26"/>
  <c r="J87" i="26" s="1"/>
  <c r="H86" i="26"/>
  <c r="J86" i="26" s="1"/>
  <c r="I86" i="26"/>
  <c r="H85" i="26"/>
  <c r="J85" i="26"/>
  <c r="I85" i="26"/>
  <c r="H84" i="26"/>
  <c r="I84" i="26" s="1"/>
  <c r="H83" i="26"/>
  <c r="I83" i="26" s="1"/>
  <c r="H82" i="26"/>
  <c r="I82" i="26" s="1"/>
  <c r="H81" i="26"/>
  <c r="J81" i="26" s="1"/>
  <c r="H80" i="26"/>
  <c r="J80" i="26" s="1"/>
  <c r="H79" i="26"/>
  <c r="J79" i="26" s="1"/>
  <c r="H78" i="26"/>
  <c r="I78" i="26" s="1"/>
  <c r="J78" i="26"/>
  <c r="H77" i="26"/>
  <c r="J77" i="26" s="1"/>
  <c r="H76" i="26"/>
  <c r="I76" i="26" s="1"/>
  <c r="J76" i="26"/>
  <c r="H75" i="26"/>
  <c r="I75" i="26" s="1"/>
  <c r="J75" i="26"/>
  <c r="H74" i="26"/>
  <c r="I74" i="26" s="1"/>
  <c r="J74" i="26"/>
  <c r="H73" i="26"/>
  <c r="J73" i="26" s="1"/>
  <c r="H72" i="26"/>
  <c r="J72" i="26" s="1"/>
  <c r="H71" i="26"/>
  <c r="J71" i="26" s="1"/>
  <c r="H70" i="26"/>
  <c r="J70" i="26" s="1"/>
  <c r="H69" i="26"/>
  <c r="I69" i="26" s="1"/>
  <c r="J69" i="26"/>
  <c r="H68" i="26"/>
  <c r="I68" i="26" s="1"/>
  <c r="J68" i="26"/>
  <c r="H67" i="26"/>
  <c r="I67" i="26" s="1"/>
  <c r="H66" i="26"/>
  <c r="I66" i="26" s="1"/>
  <c r="J66" i="26"/>
  <c r="H65" i="26"/>
  <c r="J65" i="26" s="1"/>
  <c r="H64" i="26"/>
  <c r="J64" i="26" s="1"/>
  <c r="H63" i="26"/>
  <c r="J63" i="26" s="1"/>
  <c r="H62" i="26"/>
  <c r="I62" i="26" s="1"/>
  <c r="J62" i="26"/>
  <c r="H61" i="26"/>
  <c r="J61" i="26" s="1"/>
  <c r="H60" i="26"/>
  <c r="I60" i="26" s="1"/>
  <c r="J60" i="26"/>
  <c r="H59" i="26"/>
  <c r="I59" i="26" s="1"/>
  <c r="J59" i="26"/>
  <c r="H58" i="26"/>
  <c r="I58" i="26" s="1"/>
  <c r="H57" i="26"/>
  <c r="J57" i="26" s="1"/>
  <c r="H56" i="26"/>
  <c r="J56" i="26" s="1"/>
  <c r="H55" i="26"/>
  <c r="J55" i="26" s="1"/>
  <c r="H54" i="26"/>
  <c r="J54" i="26"/>
  <c r="I54" i="26"/>
  <c r="H53" i="26"/>
  <c r="J53" i="26" s="1"/>
  <c r="H52" i="26"/>
  <c r="I52" i="26" s="1"/>
  <c r="H51" i="26"/>
  <c r="I51" i="26" s="1"/>
  <c r="J51" i="26"/>
  <c r="H50" i="26"/>
  <c r="I50" i="26" s="1"/>
  <c r="H49" i="26"/>
  <c r="J49" i="26" s="1"/>
  <c r="H48" i="26"/>
  <c r="J48" i="26" s="1"/>
  <c r="H47" i="26"/>
  <c r="J47" i="26" s="1"/>
  <c r="H46" i="26"/>
  <c r="J46" i="26" s="1"/>
  <c r="I46" i="26"/>
  <c r="H45" i="26"/>
  <c r="J45" i="26" s="1"/>
  <c r="H44" i="26"/>
  <c r="I44" i="26" s="1"/>
  <c r="J44" i="26"/>
  <c r="H43" i="26"/>
  <c r="I43" i="26" s="1"/>
  <c r="H42" i="26"/>
  <c r="I42" i="26" s="1"/>
  <c r="H41" i="26"/>
  <c r="J41" i="26" s="1"/>
  <c r="H40" i="26"/>
  <c r="J40" i="26" s="1"/>
  <c r="H39" i="26"/>
  <c r="J39" i="26" s="1"/>
  <c r="H38" i="26"/>
  <c r="J38" i="26" s="1"/>
  <c r="H37" i="26"/>
  <c r="I37" i="26" s="1"/>
  <c r="H36" i="26"/>
  <c r="I36" i="26" s="1"/>
  <c r="H35" i="26"/>
  <c r="I35" i="26" s="1"/>
  <c r="H34" i="26"/>
  <c r="I34" i="26" s="1"/>
  <c r="J34" i="26"/>
  <c r="H33" i="26"/>
  <c r="J33" i="26" s="1"/>
  <c r="H32" i="26"/>
  <c r="J32" i="26" s="1"/>
  <c r="H31" i="26"/>
  <c r="J31" i="26" s="1"/>
  <c r="H30" i="26"/>
  <c r="I30" i="26" s="1"/>
  <c r="H29" i="26"/>
  <c r="J29" i="26"/>
  <c r="I29" i="26"/>
  <c r="H28" i="26"/>
  <c r="I28" i="26" s="1"/>
  <c r="J28" i="26"/>
  <c r="H27" i="26"/>
  <c r="I27" i="26" s="1"/>
  <c r="H26" i="26"/>
  <c r="I26" i="26" s="1"/>
  <c r="J26" i="26"/>
  <c r="H25" i="26"/>
  <c r="J25" i="26" s="1"/>
  <c r="H24" i="26"/>
  <c r="J24" i="26" s="1"/>
  <c r="H23" i="26"/>
  <c r="J23" i="26" s="1"/>
  <c r="H22" i="26"/>
  <c r="J22" i="26" s="1"/>
  <c r="H21" i="26"/>
  <c r="J21" i="26"/>
  <c r="I21" i="26"/>
  <c r="H20" i="26"/>
  <c r="I20" i="26" s="1"/>
  <c r="H19" i="26"/>
  <c r="I19" i="26" s="1"/>
  <c r="J19" i="26"/>
  <c r="H18" i="26"/>
  <c r="I18" i="26" s="1"/>
  <c r="H17" i="26"/>
  <c r="J17" i="26" s="1"/>
  <c r="H16" i="26"/>
  <c r="J16" i="26" s="1"/>
  <c r="H15" i="26"/>
  <c r="J15" i="26" s="1"/>
  <c r="H14" i="26"/>
  <c r="J14" i="26"/>
  <c r="I14" i="26"/>
  <c r="H13" i="26"/>
  <c r="J13" i="26" s="1"/>
  <c r="H12" i="26"/>
  <c r="I12" i="26" s="1"/>
  <c r="H11" i="26"/>
  <c r="I11" i="26" s="1"/>
  <c r="J11" i="26"/>
  <c r="H10" i="26"/>
  <c r="I10" i="26" s="1"/>
  <c r="J10" i="26"/>
  <c r="H9" i="26"/>
  <c r="J9" i="26" s="1"/>
  <c r="H8" i="26"/>
  <c r="J8" i="26" s="1"/>
  <c r="H7" i="26"/>
  <c r="J7" i="26" s="1"/>
  <c r="H6" i="26"/>
  <c r="J6" i="26" s="1"/>
  <c r="H5" i="26"/>
  <c r="I5" i="26" s="1"/>
  <c r="J5" i="26"/>
  <c r="H4" i="26"/>
  <c r="I4" i="26" s="1"/>
  <c r="J4" i="26"/>
  <c r="H3" i="26"/>
  <c r="I3" i="26" s="1"/>
  <c r="H2" i="26"/>
  <c r="I2" i="26" s="1"/>
  <c r="D13" i="23"/>
  <c r="D33" i="23"/>
  <c r="C32" i="23"/>
  <c r="G43" i="22"/>
  <c r="D43" i="22"/>
  <c r="A43" i="22"/>
  <c r="E43" i="22" s="1"/>
  <c r="I54" i="19"/>
  <c r="I46" i="22" s="1"/>
  <c r="I53" i="19"/>
  <c r="H46" i="22" s="1"/>
  <c r="I52" i="19"/>
  <c r="G46" i="22" s="1"/>
  <c r="I51" i="19"/>
  <c r="E46" i="22" s="1"/>
  <c r="I50" i="19"/>
  <c r="D46" i="22" s="1"/>
  <c r="I49" i="19"/>
  <c r="C46" i="22" s="1"/>
  <c r="I48" i="19"/>
  <c r="B46" i="22" s="1"/>
  <c r="G1" i="14"/>
  <c r="G2" i="14" s="1"/>
  <c r="F7" i="23"/>
  <c r="C7" i="23"/>
  <c r="I6" i="23"/>
  <c r="G6" i="23"/>
  <c r="E6" i="23"/>
  <c r="C6" i="23"/>
  <c r="I5" i="23"/>
  <c r="I31" i="23"/>
  <c r="F23" i="23"/>
  <c r="I31" i="19"/>
  <c r="I30" i="19"/>
  <c r="H37" i="22"/>
  <c r="N4" i="20"/>
  <c r="A56" i="22"/>
  <c r="E54" i="22"/>
  <c r="A54" i="22"/>
  <c r="H51" i="22"/>
  <c r="G51" i="22"/>
  <c r="E51" i="22"/>
  <c r="I48" i="22"/>
  <c r="H48" i="22"/>
  <c r="G48" i="22"/>
  <c r="E48" i="22"/>
  <c r="D48" i="22"/>
  <c r="C48" i="22"/>
  <c r="B48" i="22"/>
  <c r="I47" i="22"/>
  <c r="H47" i="22"/>
  <c r="G47" i="22"/>
  <c r="E47" i="22"/>
  <c r="D47" i="22"/>
  <c r="C47" i="22"/>
  <c r="B47" i="22"/>
  <c r="I29" i="19"/>
  <c r="I32" i="19" s="1"/>
  <c r="A40" i="22"/>
  <c r="G37" i="22"/>
  <c r="E37" i="22"/>
  <c r="C40" i="22"/>
  <c r="A34" i="22"/>
  <c r="F34" i="22" s="1"/>
  <c r="H28" i="22"/>
  <c r="H31" i="22" s="1"/>
  <c r="E28" i="22"/>
  <c r="D28" i="22"/>
  <c r="C28" i="22"/>
  <c r="B28" i="22"/>
  <c r="E24" i="22"/>
  <c r="E23" i="22"/>
  <c r="E22" i="22"/>
  <c r="H24" i="22"/>
  <c r="H23" i="22"/>
  <c r="H22" i="22"/>
  <c r="D24" i="22"/>
  <c r="D23" i="22"/>
  <c r="D22" i="22"/>
  <c r="C24" i="22"/>
  <c r="C23" i="22"/>
  <c r="C22" i="22"/>
  <c r="B24" i="22"/>
  <c r="B23" i="22"/>
  <c r="B22" i="22"/>
  <c r="I19" i="22"/>
  <c r="E19" i="22"/>
  <c r="C19" i="22"/>
  <c r="C18" i="22"/>
  <c r="G17" i="22"/>
  <c r="C17" i="22"/>
  <c r="G16" i="22"/>
  <c r="C16" i="22"/>
  <c r="H14" i="22"/>
  <c r="E14" i="22"/>
  <c r="C13" i="22"/>
  <c r="C14" i="22"/>
  <c r="C12" i="22"/>
  <c r="C11" i="22"/>
  <c r="G10" i="22"/>
  <c r="C10" i="22"/>
  <c r="G11" i="22" s="1"/>
  <c r="F9" i="22"/>
  <c r="C9" i="22"/>
  <c r="G8" i="22"/>
  <c r="C8" i="22"/>
  <c r="E7" i="22"/>
  <c r="C7" i="22"/>
  <c r="H6" i="22"/>
  <c r="E6" i="22"/>
  <c r="C6" i="22"/>
  <c r="C47" i="18"/>
  <c r="C42" i="18"/>
  <c r="G1" i="9"/>
  <c r="G2" i="9" s="1"/>
  <c r="N3" i="20"/>
  <c r="N2" i="20"/>
  <c r="D30" i="6"/>
  <c r="D29" i="6"/>
  <c r="D28" i="6"/>
  <c r="D27" i="6"/>
  <c r="D26" i="6"/>
  <c r="D25" i="6"/>
  <c r="D24" i="6"/>
  <c r="D23" i="6"/>
  <c r="D22" i="6"/>
  <c r="D21" i="6"/>
  <c r="B30" i="9"/>
  <c r="B29" i="9"/>
  <c r="B28" i="9"/>
  <c r="B27" i="9"/>
  <c r="B26" i="9"/>
  <c r="B25" i="9"/>
  <c r="B24" i="9"/>
  <c r="B23" i="9"/>
  <c r="B21" i="14"/>
  <c r="C11" i="18"/>
  <c r="C10" i="18"/>
  <c r="C9" i="18"/>
  <c r="C8" i="18"/>
  <c r="C7" i="18"/>
  <c r="C6" i="18"/>
  <c r="C4" i="18"/>
  <c r="C14" i="6"/>
  <c r="C4" i="6"/>
  <c r="J30" i="26" l="1"/>
  <c r="J36" i="26"/>
  <c r="J42" i="26"/>
  <c r="I61" i="26"/>
  <c r="J101" i="26"/>
  <c r="J107" i="26"/>
  <c r="J122" i="26"/>
  <c r="J172" i="26"/>
  <c r="I182" i="26"/>
  <c r="J187" i="26"/>
  <c r="D60" i="28"/>
  <c r="K59" i="28"/>
  <c r="J12" i="26"/>
  <c r="I22" i="26"/>
  <c r="J27" i="26"/>
  <c r="I53" i="26"/>
  <c r="J83" i="26"/>
  <c r="J92" i="26"/>
  <c r="I157" i="26"/>
  <c r="D61" i="28"/>
  <c r="K60" i="28"/>
  <c r="J2" i="26"/>
  <c r="J37" i="26"/>
  <c r="J43" i="26"/>
  <c r="J58" i="26"/>
  <c r="J108" i="26"/>
  <c r="J123" i="26"/>
  <c r="J179" i="26"/>
  <c r="J188" i="26"/>
  <c r="I6" i="26"/>
  <c r="I13" i="26"/>
  <c r="I38" i="26"/>
  <c r="I45" i="26"/>
  <c r="I70" i="26"/>
  <c r="I77" i="26"/>
  <c r="I102" i="26"/>
  <c r="I109" i="26"/>
  <c r="I134" i="26"/>
  <c r="I141" i="26"/>
  <c r="I166" i="26"/>
  <c r="I173" i="26"/>
  <c r="J3" i="26"/>
  <c r="J18" i="26"/>
  <c r="J20" i="26"/>
  <c r="J35" i="26"/>
  <c r="J50" i="26"/>
  <c r="J52" i="26"/>
  <c r="J67" i="26"/>
  <c r="J82" i="26"/>
  <c r="J84" i="26"/>
  <c r="J99" i="26"/>
  <c r="J114" i="26"/>
  <c r="J116" i="26"/>
  <c r="J131" i="26"/>
  <c r="J146" i="26"/>
  <c r="J148" i="26"/>
  <c r="J163" i="26"/>
  <c r="J178" i="26"/>
  <c r="J180" i="26"/>
  <c r="I8" i="26"/>
  <c r="I16" i="26"/>
  <c r="I24" i="26"/>
  <c r="I32" i="26"/>
  <c r="I40" i="26"/>
  <c r="I48" i="26"/>
  <c r="I56" i="26"/>
  <c r="I64" i="26"/>
  <c r="I72" i="26"/>
  <c r="I80" i="26"/>
  <c r="I88" i="26"/>
  <c r="I96" i="26"/>
  <c r="I104" i="26"/>
  <c r="I112" i="26"/>
  <c r="I120" i="26"/>
  <c r="I128" i="26"/>
  <c r="I136" i="26"/>
  <c r="I144" i="26"/>
  <c r="I152" i="26"/>
  <c r="I160" i="26"/>
  <c r="I168" i="26"/>
  <c r="I176" i="26"/>
  <c r="I184" i="26"/>
  <c r="I192" i="26"/>
  <c r="I9" i="26"/>
  <c r="I17" i="26"/>
  <c r="I25" i="26"/>
  <c r="I33" i="26"/>
  <c r="I41" i="26"/>
  <c r="I49" i="26"/>
  <c r="I57" i="26"/>
  <c r="I65" i="26"/>
  <c r="I73" i="26"/>
  <c r="I81" i="26"/>
  <c r="I89" i="26"/>
  <c r="I97" i="26"/>
  <c r="I105" i="26"/>
  <c r="I113" i="26"/>
  <c r="I121" i="26"/>
  <c r="I129" i="26"/>
  <c r="I137" i="26"/>
  <c r="I145" i="26"/>
  <c r="I153" i="26"/>
  <c r="I161" i="26"/>
  <c r="I169" i="26"/>
  <c r="I177" i="26"/>
  <c r="I185" i="26"/>
  <c r="I193" i="26"/>
  <c r="I7" i="26"/>
  <c r="I15" i="26"/>
  <c r="I23" i="26"/>
  <c r="I31" i="26"/>
  <c r="I39" i="26"/>
  <c r="I47" i="26"/>
  <c r="I55" i="26"/>
  <c r="I63" i="26"/>
  <c r="I71" i="26"/>
  <c r="I79" i="26"/>
  <c r="I87" i="26"/>
  <c r="I95" i="26"/>
  <c r="I103" i="26"/>
  <c r="I111" i="26"/>
  <c r="I119" i="26"/>
  <c r="I127" i="26"/>
  <c r="I135" i="26"/>
  <c r="I143" i="26"/>
  <c r="I151" i="26"/>
  <c r="I159" i="26"/>
  <c r="I167" i="26"/>
  <c r="I175" i="26"/>
  <c r="I183" i="26"/>
  <c r="I191" i="26"/>
  <c r="H25" i="22"/>
  <c r="E40" i="22" s="1"/>
  <c r="A37" i="22"/>
  <c r="K63" i="27"/>
  <c r="E25" i="28" s="1"/>
  <c r="H25" i="28" s="1"/>
  <c r="I25" i="28" s="1"/>
  <c r="H58" i="27"/>
  <c r="H60" i="27"/>
  <c r="F31" i="27"/>
  <c r="K9" i="27" s="1"/>
  <c r="F40" i="27"/>
  <c r="K33" i="27" s="1"/>
  <c r="K80" i="27"/>
  <c r="L80" i="27" s="1"/>
  <c r="O1" i="20"/>
  <c r="D34" i="22"/>
  <c r="E26" i="28" l="1"/>
  <c r="H26" i="28" s="1"/>
  <c r="I26" i="28" s="1"/>
  <c r="L63" i="27"/>
  <c r="M63" i="27" s="1"/>
  <c r="K43" i="27"/>
  <c r="L43" i="27" s="1"/>
  <c r="F24" i="28" s="1"/>
  <c r="L33" i="27"/>
  <c r="E23" i="28"/>
  <c r="H23" i="28" s="1"/>
  <c r="I23" i="28" s="1"/>
  <c r="E22" i="28"/>
  <c r="H22" i="28" s="1"/>
  <c r="I22" i="28" s="1"/>
  <c r="L9" i="27"/>
  <c r="F26" i="28"/>
  <c r="M80" i="27"/>
  <c r="F25" i="28" l="1"/>
  <c r="E24" i="28"/>
  <c r="H24" i="28" s="1"/>
  <c r="I24" i="28" s="1"/>
  <c r="M43" i="27"/>
  <c r="M33" i="27"/>
  <c r="F23" i="28"/>
  <c r="M9" i="27"/>
  <c r="F22" i="28"/>
  <c r="H27" i="28" l="1"/>
  <c r="B17" i="28" s="1"/>
  <c r="D17" i="28" s="1"/>
  <c r="E27" i="28"/>
  <c r="K2" i="2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<sst xmlns="http://schemas.openxmlformats.org/spreadsheetml/2006/main" count="3259" uniqueCount="2410">
  <si>
    <t>PANAMA CAR RENTAL, S.A.</t>
  </si>
  <si>
    <t>PROFORMA</t>
  </si>
  <si>
    <t>FACTURA</t>
  </si>
  <si>
    <t>CONTROL DE ENTREGA DE EXPEDIENTES  DE VENTAS DE AUTOS</t>
  </si>
  <si>
    <t>CARTA PROMESA - SI EL AUTO ES FINANCIADO</t>
  </si>
  <si>
    <t>REGISTRO VEHICULAR</t>
  </si>
  <si>
    <t>DOCUMENTO DE TRASPASO</t>
  </si>
  <si>
    <t>TARJETA DE TRASPASO LIBERANDO HIPOTECA</t>
  </si>
  <si>
    <t>CARTAS DEL BANCO LIBERADO HIPOTECA</t>
  </si>
  <si>
    <t>DOCUMENTO DE CHECK LIST/RECIBO CONFORME EN VENTAS</t>
  </si>
  <si>
    <t>2 LLAVES</t>
  </si>
  <si>
    <t>CONTRATO DE COMPRA</t>
  </si>
  <si>
    <t xml:space="preserve">TARJETA DE TRASPASO COMPLETA Y FIRMADA </t>
  </si>
  <si>
    <t>PARA TRASPASAR - AUTO VENDIDO</t>
  </si>
  <si>
    <t>HOJA DE CONTABILIDAD COMPLETA</t>
  </si>
  <si>
    <t>EXONERACION TOTAL DE RESPONSABILIDAD</t>
  </si>
  <si>
    <t xml:space="preserve">Yo </t>
  </si>
  <si>
    <t xml:space="preserve">Marca: </t>
  </si>
  <si>
    <t>Modelo:</t>
  </si>
  <si>
    <t xml:space="preserve">con número de motor: </t>
  </si>
  <si>
    <t>número de chasis:</t>
  </si>
  <si>
    <t xml:space="preserve">, con </t>
  </si>
  <si>
    <t>con cédula de identificación personal número:</t>
  </si>
  <si>
    <t>Atentamente,</t>
  </si>
  <si>
    <t>A QUIEN CORRESPONDA:</t>
  </si>
  <si>
    <t>DOCUMENTOS DE PROPIETARIOS DEL AUTO:</t>
  </si>
  <si>
    <t xml:space="preserve">PLACA ( LATA ): </t>
  </si>
  <si>
    <t xml:space="preserve">RECIBO DE PLACA: </t>
  </si>
  <si>
    <t>HERRAMIENTAS:</t>
  </si>
  <si>
    <t>EQUIPO ADICIONAL:</t>
  </si>
  <si>
    <t>RADIO:</t>
  </si>
  <si>
    <t>SEGUNDA LLAVE:</t>
  </si>
  <si>
    <t>ALFOMBRAS:</t>
  </si>
  <si>
    <t>Nota:</t>
  </si>
  <si>
    <t>PLACA:</t>
  </si>
  <si>
    <t>CLIENTE:</t>
  </si>
  <si>
    <t>RECIBO DE TRASPASO:</t>
  </si>
  <si>
    <t>REGISTRO ÚNICO VEHICULAR:</t>
  </si>
  <si>
    <t xml:space="preserve">ÚLTIMO REVISADO: </t>
  </si>
  <si>
    <t>MARCA:</t>
  </si>
  <si>
    <t>MODELO:</t>
  </si>
  <si>
    <t>FECHA:</t>
  </si>
  <si>
    <t>AÑO:</t>
  </si>
  <si>
    <t>N° GENSYS:</t>
  </si>
  <si>
    <t>CARÁTULA DE RADIO</t>
  </si>
  <si>
    <t>CONTRATO DE CONSIGNACIÓN FIRMADO</t>
  </si>
  <si>
    <t xml:space="preserve">AUTORIZACIÓN DE TRASPASO </t>
  </si>
  <si>
    <t>COPIA DE CÉDULA DEL VENDEDOR</t>
  </si>
  <si>
    <t>ÚLTIMO PAGO DE PLACA</t>
  </si>
  <si>
    <t>ÚLTIMO REVISADO</t>
  </si>
  <si>
    <t>CONTRATO COMO ESTÁ/DONDE ESTÁ - SI EL AUTO NO LLEVA GARANTÍA</t>
  </si>
  <si>
    <t>por este medio manifiesto que he  recibido conforme el  vehículo,</t>
  </si>
  <si>
    <t>SEÑORES.</t>
  </si>
  <si>
    <t>TESORIA MUNICIPAL PANAMA</t>
  </si>
  <si>
    <t>MUNICIPIO DE  PANAMA</t>
  </si>
  <si>
    <t>A quien Concierna:</t>
  </si>
  <si>
    <t>Sin otro Particular,</t>
  </si>
  <si>
    <r>
      <t>Atentamente</t>
    </r>
    <r>
      <rPr>
        <b/>
        <sz val="11"/>
        <color indexed="8"/>
        <rFont val="Arial"/>
        <family val="2"/>
      </rPr>
      <t>.</t>
    </r>
  </si>
  <si>
    <t>________________________________</t>
  </si>
  <si>
    <t>Apartado 87-1239-Zona 7</t>
  </si>
  <si>
    <t>Teléfono 223-6271 / 2263800</t>
  </si>
  <si>
    <t xml:space="preserve">Fax 265-4463 </t>
  </si>
  <si>
    <r>
      <t xml:space="preserve">MODELO: </t>
    </r>
    <r>
      <rPr>
        <u/>
        <sz val="11"/>
        <color indexed="8"/>
        <rFont val="Arial"/>
        <family val="2"/>
      </rPr>
      <t xml:space="preserve">  </t>
    </r>
  </si>
  <si>
    <r>
      <t>MARCA:</t>
    </r>
    <r>
      <rPr>
        <u/>
        <sz val="11"/>
        <color indexed="8"/>
        <rFont val="Arial"/>
        <family val="2"/>
      </rPr>
      <t xml:space="preserve">        </t>
    </r>
  </si>
  <si>
    <t>TIPO:</t>
  </si>
  <si>
    <t>MOTOR:</t>
  </si>
  <si>
    <t>CHASIS:</t>
  </si>
  <si>
    <t>COLOR:</t>
  </si>
  <si>
    <t>Panamá Rep. de Panamá</t>
  </si>
  <si>
    <t>Número de factura:</t>
  </si>
  <si>
    <t>Monto:</t>
  </si>
  <si>
    <t>Forma de Pago</t>
  </si>
  <si>
    <t>TOTAL DE PAGOS</t>
  </si>
  <si>
    <t>OBSERVACIÓN ADICIONAL:</t>
  </si>
  <si>
    <t>Vendedor:</t>
  </si>
  <si>
    <t>Total</t>
  </si>
  <si>
    <t xml:space="preserve">Recibo N° :  </t>
  </si>
  <si>
    <t>Mediante el presente formulario certifico que he recibido el vehículo descrito, en este documento, a mi entera satisfacción y queda claro que la garantía prestada por Automarket solo será bloque de motor y transmisión según el contrato de compra y venta No. ____________ firmado por ambas partes.  Adicionalmente me comprometo a realizar el mantenimiento cada 5,000 kilometros o cada 4 meses, lo que ocurra primero.</t>
  </si>
  <si>
    <t>Firma</t>
  </si>
  <si>
    <t>Cédula</t>
  </si>
  <si>
    <t>Fecha</t>
  </si>
  <si>
    <t>PRUEBA DE MANEJO</t>
  </si>
  <si>
    <t xml:space="preserve">DOCUMENTO DE RECIBO CONFORME Y EXONERACION </t>
  </si>
  <si>
    <t>COPIA DE DOCUMENTO TRASPASADO</t>
  </si>
  <si>
    <t>FORMULARIO REPORTE DE TRANSFERENCIAS EN EFECTIVO (R.T.E)</t>
  </si>
  <si>
    <t>CONTRATO DE COMPRA VENTA</t>
  </si>
  <si>
    <t>CONTRATO DE COMPRA (SI ES TRADE IN)</t>
  </si>
  <si>
    <t>GERENTE GENERAL</t>
  </si>
  <si>
    <t>PCR</t>
  </si>
  <si>
    <t>REGISTRO UNICO VEHICULAR</t>
  </si>
  <si>
    <t>AUTORIDAD DE TRANSITO Y TRANSPORTE TERRESTRE</t>
  </si>
  <si>
    <t>FINANCIADO</t>
  </si>
  <si>
    <t>HYUNDAI</t>
  </si>
  <si>
    <t>ACCENT</t>
  </si>
  <si>
    <t>POLÍTICA CONOZCA A SU CLIENTE</t>
  </si>
  <si>
    <t>DATOS GENERALES</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</si>
  <si>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</si>
  <si>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</si>
  <si>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</si>
  <si>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</si>
  <si>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</si>
  <si>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</si>
  <si>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</si>
  <si>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</si>
  <si>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</si>
  <si>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</si>
  <si>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</si>
  <si>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</si>
  <si>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</si>
  <si>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</si>
  <si>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</si>
  <si>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</si>
  <si>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</si>
  <si>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</si>
  <si>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DATOS OCUPACIONALES</t>
  </si>
  <si>
    <t>PROFESIÓN:</t>
  </si>
  <si>
    <t>OCUPACIÓN:</t>
  </si>
  <si>
    <t>NOMBRE DE LA EMPRESA:</t>
  </si>
  <si>
    <t>DIRECCIÓN DE LA EMPRESA:</t>
  </si>
  <si>
    <t>TELÉFONO:</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</si>
  <si>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</si>
  <si>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</si>
  <si>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</si>
  <si>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</si>
  <si>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CONSENTIMIENTO</t>
  </si>
  <si>
    <t>¿ES UD. UNA PERSONA EXPUESTA POLÍTICAMENTE?</t>
  </si>
  <si>
    <t>CARGO ACTUAL O ANTERIOR:</t>
  </si>
  <si>
    <t>PERFIL FINANCIERO</t>
  </si>
  <si>
    <t>DE USD 10M A 30M</t>
  </si>
  <si>
    <t>DE USD 30M A 50M</t>
  </si>
  <si>
    <t>DE USD 50M A 100M</t>
  </si>
  <si>
    <t>MAS DE USD 100M</t>
  </si>
  <si>
    <t>REFERENCIA COMERCIAL</t>
  </si>
  <si>
    <t>RAZÓN SOCIAL</t>
  </si>
  <si>
    <t>ACTIVIDAD</t>
  </si>
  <si>
    <t>TELÉFONO DE CONTACTO</t>
  </si>
  <si>
    <t>REFERENCIA PERSONAL</t>
  </si>
  <si>
    <t>NOMBRES Y APELLIDOS</t>
  </si>
  <si>
    <t>CORREO ELECTRÓNICO</t>
  </si>
  <si>
    <t>REFERENCIA BANCARIA</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</si>
  <si>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</si>
  <si>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</si>
  <si>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</si>
  <si>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</si>
  <si>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</si>
  <si>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</si>
  <si>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</si>
  <si>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</si>
  <si>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</si>
  <si>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</si>
  <si>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</si>
  <si>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COPIA FICHA DEL SEGURO SOCIAL (Persona Natural Asalariada)</t>
  </si>
  <si>
    <t>CARTA DE TRABAJO (Persona Natural Asalariada)</t>
  </si>
  <si>
    <t>COPIA DEL ÚLTIMO COMPROBANTE DE PAGO O TALONARIO (Persona Natural Asalariada)</t>
  </si>
  <si>
    <t>COPIA ÚLTIMA DECLARACIÓN DE IMPUESTO SOBRE LA RENTA</t>
  </si>
  <si>
    <t>ESTADO DE CUENTA BANCARIO (3 ULTIMOS MESES)</t>
  </si>
  <si>
    <t>VENDEDOR:</t>
  </si>
  <si>
    <t>ENCARGADO SUCURSAL:</t>
  </si>
  <si>
    <t>RECIBIDO</t>
  </si>
  <si>
    <t>DPTO. CONTABILIDAD:</t>
  </si>
  <si>
    <t>FECHA DE RECIBIDO:</t>
  </si>
  <si>
    <t>____________________________________________</t>
  </si>
  <si>
    <t>FIRMA DEL RESPONSABLE:</t>
  </si>
  <si>
    <t>RECIBOS DE PAGO</t>
  </si>
  <si>
    <t>CONTROL DE DOCUMENTOS DE AUTOS</t>
  </si>
  <si>
    <t>SI ES DE DOLLAR</t>
  </si>
  <si>
    <r>
      <rPr>
        <b/>
        <sz val="11"/>
        <color indexed="8"/>
        <rFont val="Calibri"/>
        <family val="2"/>
      </rPr>
      <t>NOTA:</t>
    </r>
    <r>
      <rPr>
        <sz val="11"/>
        <color theme="1"/>
        <rFont val="Calibri"/>
        <family val="2"/>
        <scheme val="minor"/>
      </rPr>
      <t xml:space="preserve"> El monto total de pagos debe ser igual al valor de la factura</t>
    </r>
  </si>
  <si>
    <t>CÓDIGO:</t>
  </si>
  <si>
    <t>Recibo N°:</t>
  </si>
  <si>
    <t>Auto Trade In  (N° Recibo):</t>
  </si>
  <si>
    <t>CANCELA TRASPASO:</t>
  </si>
  <si>
    <t>Encargado de Sucursal:</t>
  </si>
  <si>
    <t>FECHA ENTREGA:</t>
  </si>
  <si>
    <t>DATOS DEL VEHÍCULO</t>
  </si>
  <si>
    <t>KILOMETRAJE:</t>
  </si>
  <si>
    <t>PAÍS DE RESIDENCIA:</t>
  </si>
  <si>
    <t>SI:</t>
  </si>
  <si>
    <t>NO:</t>
  </si>
  <si>
    <t>DECLARACIÓN DE FUENTE Y ORIGEN DE LOS RECURSOS DE LA TRANSACCIÓN</t>
  </si>
  <si>
    <t>PERSONAS EXPUESTA POLÍTICAMENTE</t>
  </si>
  <si>
    <t>ACTIVIDAD:</t>
  </si>
  <si>
    <t>CONTACTO:</t>
  </si>
  <si>
    <t>N° CUENTA:</t>
  </si>
  <si>
    <t>VENEZUELA</t>
  </si>
  <si>
    <t>SUCURSAL</t>
  </si>
  <si>
    <t>SUCURSAL:</t>
  </si>
  <si>
    <t>CIUDAD:</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</si>
  <si>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</si>
  <si>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</si>
  <si>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</si>
  <si>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</si>
  <si>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</si>
  <si>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</si>
  <si>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</si>
  <si>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</si>
  <si>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</si>
  <si>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</si>
  <si>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</si>
  <si>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</si>
  <si>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</si>
  <si>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</si>
  <si>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</si>
  <si>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</si>
  <si>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</si>
  <si>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</si>
  <si>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</si>
  <si>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</si>
  <si>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</si>
  <si>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</si>
  <si>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</si>
  <si>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</si>
  <si>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</si>
  <si>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</si>
  <si>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</si>
  <si>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</si>
  <si>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</si>
  <si>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</si>
  <si>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</si>
  <si>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</si>
  <si>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</si>
  <si>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</si>
  <si>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</si>
  <si>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</si>
  <si>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</si>
  <si>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</si>
  <si>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</si>
  <si>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</si>
  <si>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</si>
  <si>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</si>
  <si>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</si>
  <si>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</si>
  <si>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</si>
  <si>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</si>
  <si>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</si>
  <si>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</si>
  <si>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</si>
  <si>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</si>
  <si>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</si>
  <si>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</si>
  <si>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</si>
  <si>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</si>
  <si>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</si>
  <si>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</si>
  <si>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</si>
  <si>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</si>
  <si>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</si>
  <si>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</si>
  <si>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</si>
  <si>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</si>
  <si>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</si>
  <si>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</si>
  <si>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</si>
  <si>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</si>
  <si>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</si>
  <si>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</si>
  <si>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</si>
  <si>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</si>
  <si>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</si>
  <si>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</si>
  <si>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</si>
  <si>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</si>
  <si>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</si>
  <si>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</si>
  <si>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</si>
  <si>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</si>
  <si>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</si>
  <si>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</si>
  <si>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</si>
  <si>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</si>
  <si>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</si>
  <si>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</si>
  <si>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</si>
  <si>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</si>
  <si>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</si>
  <si>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</si>
  <si>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</si>
  <si>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</si>
  <si>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</si>
  <si>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</si>
  <si>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</si>
  <si>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</si>
  <si>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</si>
  <si>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</si>
  <si>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</si>
  <si>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</si>
  <si>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</si>
  <si>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</si>
  <si>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</si>
  <si>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</si>
  <si>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</si>
  <si>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</si>
  <si>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</si>
  <si>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</si>
  <si>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</si>
  <si>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</si>
  <si>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</si>
  <si>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</si>
  <si>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</si>
  <si>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</si>
  <si>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</si>
  <si>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</si>
  <si>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</si>
  <si>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</si>
  <si>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</si>
  <si>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</si>
  <si>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</si>
  <si>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</si>
  <si>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</si>
  <si>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</si>
  <si>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</si>
  <si>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</si>
  <si>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</si>
  <si>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</si>
  <si>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</si>
  <si>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</si>
  <si>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</si>
  <si>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</si>
  <si>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</si>
  <si>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</si>
  <si>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</si>
  <si>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</si>
  <si>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</si>
  <si>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</si>
  <si>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</si>
  <si>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</si>
  <si>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</si>
  <si>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</si>
  <si>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</si>
  <si>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</si>
  <si>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</si>
  <si>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</si>
  <si>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</si>
  <si>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</si>
  <si>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</si>
  <si>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</si>
  <si>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</si>
  <si>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</si>
  <si>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</si>
  <si>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</si>
  <si>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</si>
  <si>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</si>
  <si>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</si>
  <si>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</si>
  <si>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</si>
  <si>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</si>
  <si>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</si>
  <si>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</si>
  <si>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</si>
  <si>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</si>
  <si>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</si>
  <si>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</si>
  <si>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</si>
  <si>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</si>
  <si>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</si>
  <si>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</si>
  <si>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</si>
  <si>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</si>
  <si>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</si>
  <si>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</si>
  <si>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</si>
  <si>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</si>
  <si>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</si>
  <si>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</si>
  <si>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</si>
  <si>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</si>
  <si>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</si>
  <si>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</si>
  <si>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</si>
  <si>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</si>
  <si>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</si>
  <si>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</si>
  <si>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</si>
  <si>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</si>
  <si>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</si>
  <si>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</si>
  <si>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</si>
  <si>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</si>
  <si>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</si>
  <si>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</si>
  <si>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</si>
  <si>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</si>
  <si>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</si>
  <si>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</si>
  <si>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</si>
  <si>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</si>
  <si>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</si>
  <si>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</si>
  <si>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</si>
  <si>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</si>
  <si>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</si>
  <si>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</si>
  <si>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</si>
  <si>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</si>
  <si>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</si>
  <si>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</si>
  <si>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</si>
  <si>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</si>
  <si>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</si>
  <si>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</si>
  <si>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</si>
  <si>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</si>
  <si>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</si>
  <si>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</si>
  <si>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</si>
  <si>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</si>
  <si>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</si>
  <si>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</si>
  <si>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</si>
  <si>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</si>
  <si>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</si>
  <si>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</si>
  <si>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</si>
  <si>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</si>
  <si>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</si>
  <si>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</si>
  <si>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</si>
  <si>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</si>
  <si>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</si>
  <si>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</si>
  <si>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</si>
  <si>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</si>
  <si>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</si>
  <si>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</si>
  <si>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</si>
  <si>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</si>
  <si>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</si>
  <si>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</si>
  <si>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</si>
  <si>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</si>
  <si>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</si>
  <si>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</si>
  <si>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</si>
  <si>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</si>
  <si>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</si>
  <si>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</si>
  <si>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</si>
  <si>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</si>
  <si>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</si>
  <si>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</si>
  <si>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</si>
  <si>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</si>
  <si>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</si>
  <si>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</si>
  <si>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</si>
  <si>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</si>
  <si>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</si>
  <si>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</si>
  <si>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</si>
  <si>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</si>
  <si>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</si>
  <si>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</si>
  <si>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</si>
  <si>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</si>
  <si>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</si>
  <si>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</si>
  <si>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</si>
  <si>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</si>
  <si>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</si>
  <si>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</si>
  <si>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</si>
  <si>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</si>
  <si>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</si>
  <si>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</si>
  <si>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</si>
  <si>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</si>
  <si>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</si>
  <si>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</si>
  <si>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</si>
  <si>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</si>
  <si>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</si>
  <si>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</si>
  <si>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</si>
  <si>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</si>
  <si>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</si>
  <si>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</si>
  <si>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</si>
  <si>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</si>
  <si>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</si>
  <si>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</si>
  <si>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</si>
  <si>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</si>
  <si>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</si>
  <si>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</si>
  <si>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</si>
  <si>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</si>
  <si>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</si>
  <si>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</si>
  <si>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</si>
  <si>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</si>
  <si>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</si>
  <si>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</si>
  <si>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</si>
  <si>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</si>
  <si>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</si>
  <si>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</si>
  <si>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</si>
  <si>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</si>
  <si>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</si>
  <si>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</si>
  <si>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</si>
  <si>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</si>
  <si>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</si>
  <si>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</si>
  <si>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</si>
  <si>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</si>
  <si>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</si>
  <si>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</si>
  <si>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</si>
  <si>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</si>
  <si>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</si>
  <si>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</si>
  <si>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</si>
  <si>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</si>
  <si>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</si>
  <si>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</si>
  <si>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</si>
  <si>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</si>
  <si>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</si>
  <si>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</si>
  <si>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</si>
  <si>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</si>
  <si>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</si>
  <si>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</si>
  <si>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</si>
  <si>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</si>
  <si>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</si>
  <si>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</si>
  <si>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</si>
  <si>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</si>
  <si>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</si>
  <si>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</si>
  <si>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</si>
  <si>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</si>
  <si>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</si>
  <si>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</si>
  <si>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</si>
  <si>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</si>
  <si>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</si>
  <si>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</si>
  <si>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</si>
  <si>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</si>
  <si>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</si>
  <si>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</si>
  <si>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</si>
  <si>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</si>
  <si>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</si>
  <si>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</si>
  <si>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</si>
  <si>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</si>
  <si>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</si>
  <si>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</si>
  <si>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</si>
  <si>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</si>
  <si>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</si>
  <si>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</si>
  <si>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</si>
  <si>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</si>
  <si>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</si>
  <si>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</si>
  <si>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</si>
  <si>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</si>
  <si>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</si>
  <si>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</si>
  <si>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</si>
  <si>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</si>
  <si>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</si>
  <si>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</si>
  <si>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</si>
  <si>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</si>
  <si>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</si>
  <si>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</si>
  <si>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</si>
  <si>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</si>
  <si>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</si>
  <si>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</si>
  <si>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</si>
  <si>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</si>
  <si>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</si>
  <si>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</si>
  <si>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</si>
  <si>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</si>
  <si>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</si>
  <si>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</si>
  <si>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</si>
  <si>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</si>
  <si>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</si>
  <si>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</si>
  <si>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</si>
  <si>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</si>
  <si>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</si>
  <si>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</si>
  <si>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</si>
  <si>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</si>
  <si>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</si>
  <si>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</si>
  <si>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</si>
  <si>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</si>
  <si>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</si>
  <si>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</si>
  <si>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</si>
  <si>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</si>
  <si>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</si>
  <si>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</si>
  <si>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</si>
  <si>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</si>
  <si>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</si>
  <si>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</si>
  <si>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</si>
  <si>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</si>
  <si>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</si>
  <si>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</si>
  <si>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</si>
  <si>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</si>
  <si>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</si>
  <si>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</si>
  <si>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</si>
  <si>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</si>
  <si>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</si>
  <si>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</si>
  <si>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</si>
  <si>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</si>
  <si>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</si>
  <si>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</si>
  <si>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</si>
  <si>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</si>
  <si>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</si>
  <si>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</si>
  <si>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</si>
  <si>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</si>
  <si>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</si>
  <si>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</si>
  <si>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</si>
  <si>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</si>
  <si>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</si>
  <si>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</si>
  <si>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</si>
  <si>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</si>
  <si>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</si>
  <si>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</si>
  <si>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</si>
  <si>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</si>
  <si>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</si>
  <si>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</si>
  <si>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</si>
  <si>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</si>
  <si>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</si>
  <si>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</si>
  <si>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</si>
  <si>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</si>
  <si>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</si>
  <si>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</si>
  <si>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</si>
  <si>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</si>
  <si>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</si>
  <si>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</si>
  <si>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</si>
  <si>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</si>
  <si>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</si>
  <si>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</si>
  <si>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</si>
  <si>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</si>
  <si>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</si>
  <si>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</si>
  <si>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</si>
  <si>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</si>
  <si>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</si>
  <si>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</si>
  <si>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</si>
  <si>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</si>
  <si>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</si>
  <si>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</si>
  <si>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</si>
  <si>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</si>
  <si>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</si>
  <si>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</si>
  <si>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</si>
  <si>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</si>
  <si>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</si>
  <si>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</si>
  <si>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</si>
  <si>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</si>
  <si>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</si>
  <si>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</si>
  <si>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</si>
  <si>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</si>
  <si>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</si>
  <si>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</si>
  <si>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</si>
  <si>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</si>
  <si>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</si>
  <si>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</si>
  <si>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</si>
  <si>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</si>
  <si>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</si>
  <si>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</si>
  <si>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</si>
  <si>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</si>
  <si>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</si>
  <si>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</si>
  <si>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</si>
  <si>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</si>
  <si>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</si>
  <si>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</si>
  <si>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</si>
  <si>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</si>
  <si>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</si>
  <si>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</si>
  <si>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</si>
  <si>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</si>
  <si>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</si>
  <si>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</si>
  <si>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</si>
  <si>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</si>
  <si>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</si>
  <si>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</si>
  <si>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</si>
  <si>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</si>
  <si>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</si>
  <si>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</si>
  <si>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</si>
  <si>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</si>
  <si>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</si>
  <si>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</si>
  <si>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</si>
  <si>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</si>
  <si>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</si>
  <si>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</si>
  <si>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</si>
  <si>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</si>
  <si>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</si>
  <si>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</si>
  <si>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</si>
  <si>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</si>
  <si>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</si>
  <si>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</si>
  <si>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</si>
  <si>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</si>
  <si>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</si>
  <si>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</si>
  <si>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</si>
  <si>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</si>
  <si>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</si>
  <si>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</si>
  <si>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</si>
  <si>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</si>
  <si>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</si>
  <si>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</si>
  <si>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</si>
  <si>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</si>
  <si>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</si>
  <si>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</si>
  <si>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</si>
  <si>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</si>
  <si>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</si>
  <si>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</si>
  <si>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</si>
  <si>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</si>
  <si>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</si>
  <si>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</si>
  <si>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</si>
  <si>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</si>
  <si>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</si>
  <si>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</si>
  <si>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</si>
  <si>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</si>
  <si>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</si>
  <si>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</si>
  <si>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</si>
  <si>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</si>
  <si>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</si>
  <si>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</si>
  <si>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</si>
  <si>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</si>
  <si>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</si>
  <si>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</si>
  <si>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</si>
  <si>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</si>
  <si>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</si>
  <si>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</si>
  <si>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</si>
  <si>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</si>
  <si>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</si>
  <si>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</si>
  <si>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</si>
  <si>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</si>
  <si>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</si>
  <si>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</si>
  <si>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</si>
  <si>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</si>
  <si>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</si>
  <si>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</si>
  <si>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</si>
  <si>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</si>
  <si>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</si>
  <si>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</si>
  <si>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</si>
  <si>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</si>
  <si>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</si>
  <si>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</si>
  <si>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</si>
  <si>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</si>
  <si>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</si>
  <si>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</si>
  <si>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</si>
  <si>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</si>
  <si>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</si>
  <si>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</si>
  <si>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</si>
  <si>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</si>
  <si>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</si>
  <si>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</si>
  <si>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</si>
  <si>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</si>
  <si>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</si>
  <si>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</si>
  <si>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</si>
  <si>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</si>
  <si>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</si>
  <si>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</si>
  <si>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</si>
  <si>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</si>
  <si>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</si>
  <si>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</si>
  <si>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</si>
  <si>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</si>
  <si>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</si>
  <si>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</si>
  <si>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</si>
  <si>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</si>
  <si>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</si>
  <si>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</si>
  <si>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</si>
  <si>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</si>
  <si>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</si>
  <si>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</si>
  <si>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</si>
  <si>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</si>
  <si>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</si>
  <si>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</si>
  <si>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</si>
  <si>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</si>
  <si>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</si>
  <si>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</si>
  <si>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</si>
  <si>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</si>
  <si>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</si>
  <si>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</si>
  <si>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</si>
  <si>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</si>
  <si>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</si>
  <si>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</si>
  <si>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</si>
  <si>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</si>
  <si>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</si>
  <si>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</si>
  <si>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</si>
  <si>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</si>
  <si>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</si>
  <si>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</si>
  <si>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</si>
  <si>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</si>
  <si>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</si>
  <si>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</si>
  <si>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</si>
  <si>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</si>
  <si>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</si>
  <si>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</si>
  <si>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</si>
  <si>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</si>
  <si>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</si>
  <si>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</si>
  <si>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</si>
  <si>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</si>
  <si>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</si>
  <si>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</si>
  <si>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</si>
  <si>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</si>
  <si>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</si>
  <si>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</si>
  <si>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</si>
  <si>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</si>
  <si>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</si>
  <si>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</si>
  <si>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</si>
  <si>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</si>
  <si>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</si>
  <si>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</si>
  <si>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</si>
  <si>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</si>
  <si>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</si>
  <si>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</si>
  <si>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</si>
  <si>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</si>
  <si>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</si>
  <si>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</si>
  <si>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</si>
  <si>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</si>
  <si>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</si>
  <si>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</si>
  <si>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</si>
  <si>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</si>
  <si>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</si>
  <si>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</si>
  <si>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</si>
  <si>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</si>
  <si>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</si>
  <si>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</si>
  <si>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</si>
  <si>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</si>
  <si>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</si>
  <si>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</si>
  <si>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</si>
  <si>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</si>
  <si>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</si>
  <si>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</si>
  <si>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</si>
  <si>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</si>
  <si>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</si>
  <si>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</si>
  <si>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</si>
  <si>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</si>
  <si>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</si>
  <si>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</si>
  <si>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</si>
  <si>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</si>
  <si>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</si>
  <si>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</si>
  <si>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</si>
  <si>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</si>
  <si>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</si>
  <si>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</si>
  <si>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</si>
  <si>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</si>
  <si>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</si>
  <si>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</si>
  <si>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</si>
  <si>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</si>
  <si>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</si>
  <si>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</si>
  <si>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</si>
  <si>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</si>
  <si>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</si>
  <si>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</si>
  <si>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</si>
  <si>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</si>
  <si>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</si>
  <si>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</si>
  <si>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</si>
  <si>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</si>
  <si>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</si>
  <si>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</si>
  <si>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</si>
  <si>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</si>
  <si>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</si>
  <si>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</si>
  <si>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</si>
  <si>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</si>
  <si>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</si>
  <si>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</si>
  <si>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</si>
  <si>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</si>
  <si>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</si>
  <si>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</si>
  <si>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</si>
  <si>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</si>
  <si>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</si>
  <si>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</si>
  <si>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</si>
  <si>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</si>
  <si>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</si>
  <si>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</si>
  <si>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</si>
  <si>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</si>
  <si>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</si>
  <si>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</si>
  <si>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</si>
  <si>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</si>
  <si>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</si>
  <si>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</si>
  <si>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</si>
  <si>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</si>
  <si>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</si>
  <si>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</si>
  <si>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</si>
  <si>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</si>
  <si>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</si>
  <si>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</si>
  <si>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</si>
  <si>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</si>
  <si>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</si>
  <si>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</si>
  <si>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</si>
  <si>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</si>
  <si>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</si>
  <si>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</si>
  <si>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</si>
  <si>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</si>
  <si>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</si>
  <si>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</si>
  <si>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</si>
  <si>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</si>
  <si>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</si>
  <si>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</si>
  <si>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</si>
  <si>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</si>
  <si>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</si>
  <si>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</si>
  <si>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</si>
  <si>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</si>
  <si>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</si>
  <si>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</si>
  <si>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</si>
  <si>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</si>
  <si>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</si>
  <si>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</si>
  <si>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</si>
  <si>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</si>
  <si>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</si>
  <si>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</si>
  <si>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</si>
  <si>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</si>
  <si>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</si>
  <si>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</si>
  <si>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</si>
  <si>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</si>
  <si>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</si>
  <si>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</si>
  <si>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</si>
  <si>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</si>
  <si>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</si>
  <si>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</si>
  <si>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</si>
  <si>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</si>
  <si>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</si>
  <si>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</si>
  <si>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</si>
  <si>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</si>
  <si>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</si>
  <si>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</si>
  <si>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</si>
  <si>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</si>
  <si>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</si>
  <si>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</si>
  <si>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</si>
  <si>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</si>
  <si>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</si>
  <si>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</si>
  <si>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</si>
  <si>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</si>
  <si>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</si>
  <si>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</si>
  <si>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</si>
  <si>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</si>
  <si>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</si>
  <si>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</si>
  <si>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</si>
  <si>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</si>
  <si>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</si>
  <si>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</si>
  <si>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</si>
  <si>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</si>
  <si>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</si>
  <si>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</si>
  <si>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</si>
  <si>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</si>
  <si>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</si>
  <si>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</si>
  <si>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</si>
  <si>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</si>
  <si>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</si>
  <si>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</si>
  <si>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</si>
  <si>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</si>
  <si>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</si>
  <si>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</si>
  <si>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</si>
  <si>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</si>
  <si>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</si>
  <si>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</si>
  <si>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</si>
  <si>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</si>
  <si>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</si>
  <si>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</si>
  <si>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</si>
  <si>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</si>
  <si>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</si>
  <si>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</si>
  <si>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</si>
  <si>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</si>
  <si>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</si>
  <si>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</si>
  <si>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</si>
  <si>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</si>
  <si>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</si>
  <si>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</si>
  <si>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</si>
  <si>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</si>
  <si>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</si>
  <si>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</si>
  <si>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</si>
  <si>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</si>
  <si>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</si>
  <si>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</si>
  <si>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</si>
  <si>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</si>
  <si>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</si>
  <si>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</si>
  <si>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</si>
  <si>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</si>
  <si>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</si>
  <si>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</si>
  <si>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</si>
  <si>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</si>
  <si>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</si>
  <si>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</si>
  <si>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</si>
  <si>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</si>
  <si>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</si>
  <si>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</si>
  <si>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</si>
  <si>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</si>
  <si>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</si>
  <si>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</si>
  <si>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</si>
  <si>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</si>
  <si>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</si>
  <si>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</si>
  <si>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</si>
  <si>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</si>
  <si>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</si>
  <si>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</si>
  <si>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</si>
  <si>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</si>
  <si>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</si>
  <si>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</si>
  <si>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</si>
  <si>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</si>
  <si>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</si>
  <si>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</si>
  <si>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</si>
  <si>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</si>
  <si>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</si>
  <si>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</si>
  <si>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</si>
  <si>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</si>
  <si>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</si>
  <si>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</si>
  <si>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</si>
  <si>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</si>
  <si>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</si>
  <si>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</si>
  <si>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</si>
  <si>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</si>
  <si>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</si>
  <si>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</si>
  <si>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</si>
  <si>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</si>
  <si>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</si>
  <si>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</si>
  <si>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</si>
  <si>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</si>
  <si>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</si>
  <si>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</si>
  <si>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</si>
  <si>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</si>
  <si>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</si>
  <si>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</si>
  <si>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</si>
  <si>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</si>
  <si>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</si>
  <si>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</si>
  <si>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</si>
  <si>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</si>
  <si>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</si>
  <si>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</si>
  <si>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</si>
  <si>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</si>
  <si>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</si>
  <si>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</si>
  <si>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</si>
  <si>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</si>
  <si>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</si>
  <si>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</si>
  <si>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</si>
  <si>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</si>
  <si>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</si>
  <si>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</si>
  <si>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</si>
  <si>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</si>
  <si>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</si>
  <si>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</si>
  <si>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</si>
  <si>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</si>
  <si>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</si>
  <si>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</si>
  <si>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</si>
  <si>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</si>
  <si>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</si>
  <si>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</si>
  <si>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</si>
  <si>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</si>
  <si>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</si>
  <si>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</si>
  <si>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</si>
  <si>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</si>
  <si>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</si>
  <si>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</si>
  <si>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</si>
  <si>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</si>
  <si>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</si>
  <si>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</si>
  <si>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</si>
  <si>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</si>
  <si>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</si>
  <si>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</si>
  <si>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</si>
  <si>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</si>
  <si>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</si>
  <si>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</si>
  <si>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</si>
  <si>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</si>
  <si>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</si>
  <si>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</si>
  <si>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</si>
  <si>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</si>
  <si>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</si>
  <si>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</si>
  <si>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</si>
  <si>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</si>
  <si>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</si>
  <si>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</si>
  <si>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</si>
  <si>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</si>
  <si>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</si>
  <si>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</si>
  <si>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</si>
  <si>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</si>
  <si>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</si>
  <si>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</si>
  <si>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</si>
  <si>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</si>
  <si>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</si>
  <si>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</si>
  <si>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</si>
  <si>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</si>
  <si>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</si>
  <si>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</si>
  <si>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</si>
  <si>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</si>
  <si>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</si>
  <si>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</si>
  <si>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</si>
  <si>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</si>
  <si>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</si>
  <si>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</si>
  <si>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</si>
  <si>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</si>
  <si>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</si>
  <si>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</si>
  <si>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</si>
  <si>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</si>
  <si>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</si>
  <si>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</si>
  <si>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</si>
  <si>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</si>
  <si>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</si>
  <si>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</si>
  <si>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</si>
  <si>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</si>
  <si>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</si>
  <si>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</si>
  <si>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</si>
  <si>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</si>
  <si>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</si>
  <si>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</si>
  <si>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</si>
  <si>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</si>
  <si>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</si>
  <si>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</si>
  <si>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</si>
  <si>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</si>
  <si>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</si>
  <si>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</si>
  <si>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</si>
  <si>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</si>
  <si>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</si>
  <si>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</si>
  <si>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</si>
  <si>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</si>
  <si>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</si>
  <si>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</si>
  <si>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</si>
  <si>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</si>
  <si>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</si>
  <si>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</si>
  <si>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</si>
  <si>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</si>
  <si>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</si>
  <si>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</si>
  <si>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</si>
  <si>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</si>
  <si>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</si>
  <si>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</si>
  <si>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</si>
  <si>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</si>
  <si>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</si>
  <si>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</si>
  <si>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</si>
  <si>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</si>
  <si>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</si>
  <si>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</si>
  <si>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</si>
  <si>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</si>
  <si>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</si>
  <si>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</si>
  <si>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</si>
  <si>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</si>
  <si>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</si>
  <si>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</si>
  <si>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</si>
  <si>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</si>
  <si>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</si>
  <si>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</si>
  <si>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</si>
  <si>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</si>
  <si>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</si>
  <si>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</si>
  <si>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</si>
  <si>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</si>
  <si>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</si>
  <si>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</si>
  <si>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</si>
  <si>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COPIA CEDULA DEL CLIENTE</t>
  </si>
  <si>
    <t>COPIA CONTRATO DE ARRENDAMIENTO DEL INMUEBLE  (A nombre del Cliente)</t>
  </si>
  <si>
    <t>COPIA PASAPORTE DEL CLIENTE (Sacar copia de página último ingreso a Panamá)</t>
  </si>
  <si>
    <t>COPIA DEL ÚLTIMO RECIBO DE UN (1) SERVICIO PÚBLICO (A nombre del Cliente)</t>
  </si>
  <si>
    <t>INGRESOS ANUALES DE LA ACTIVIDAD PRINCIPAL MAYOR DE USD 10 M</t>
  </si>
  <si>
    <t>CÓDIGO DOLLAR</t>
  </si>
  <si>
    <t>CÓDIGO DOLLAR:</t>
  </si>
  <si>
    <t>INGRESOS ANUALES POR ACTIVIDAD MAYOR DE USD 10M</t>
  </si>
  <si>
    <t>C:\Users\carlos.perez\Google Drive\Automarket\Revisiones\Expedientes de Venta\Leyes y Formatos\Formatos\</t>
  </si>
  <si>
    <t>DATOS DEL CLIENTE</t>
  </si>
  <si>
    <t>FECHA DE NACIMIENTO</t>
  </si>
  <si>
    <t>GENERALES</t>
  </si>
  <si>
    <t>SI ES COMPRADO/TRADE IN</t>
  </si>
  <si>
    <t>SI ES TOMADO EN CONSIGNACION</t>
  </si>
  <si>
    <t>GATO, PIPA, PALANCA</t>
  </si>
  <si>
    <t>Tráfico:</t>
  </si>
  <si>
    <t>Contabilidad:</t>
  </si>
  <si>
    <t>REQUISITOS CLIENTE (PERSONA NATURAL)</t>
  </si>
  <si>
    <t>FORMULARIO PERSONA NATURAL</t>
  </si>
  <si>
    <t>DOCUMENTOS PROPIETARIOS DEL AUTO</t>
  </si>
  <si>
    <t>FILE DE VENTAS</t>
  </si>
  <si>
    <t>Km. Recorridos, y en  adelante  denominado</t>
  </si>
  <si>
    <t xml:space="preserve"> Sirva     la     misma     para     dejar     constancia     que     a     partir     de    la    fecha,     libero    de</t>
  </si>
  <si>
    <r>
      <rPr>
        <b/>
        <sz val="11"/>
        <color theme="1"/>
        <rFont val="Calibri"/>
        <family val="2"/>
        <scheme val="minor"/>
      </rPr>
      <t>TODA RESPONSABILIDAD</t>
    </r>
    <r>
      <rPr>
        <sz val="11"/>
        <color theme="1"/>
        <rFont val="Calibri"/>
        <family val="2"/>
        <scheme val="minor"/>
      </rPr>
      <t xml:space="preserve"> civil penal o de cualquier otra índole, a la empresa</t>
    </r>
  </si>
  <si>
    <t>y a  sus  representantes legales,  en especial la Respon-</t>
  </si>
  <si>
    <r>
      <t>sabilidad  hacia   Terceros   derivada  de los accidentes de tránsito, en los que ha partir de la fecha me encuentre involucrado por la concucción o manejo de</t>
    </r>
    <r>
      <rPr>
        <b/>
        <sz val="11"/>
        <color indexed="8"/>
        <rFont val="Calibri"/>
        <family val="2"/>
      </rPr>
      <t xml:space="preserve"> EL VEHÍCULO </t>
    </r>
    <r>
      <rPr>
        <sz val="11"/>
        <color indexed="8"/>
        <rFont val="Calibri"/>
        <family val="2"/>
      </rPr>
      <t>ó inclusive las personas que yo le permita  La conducción de</t>
    </r>
    <r>
      <rPr>
        <b/>
        <sz val="11"/>
        <color indexed="8"/>
        <rFont val="Calibri"/>
        <family val="2"/>
      </rPr>
      <t xml:space="preserve"> EL VEHÍCULO.</t>
    </r>
  </si>
  <si>
    <t>SOCIEDAD:</t>
  </si>
  <si>
    <t>CONTRATO DE GARANTÍA</t>
  </si>
  <si>
    <t>REQUISITOS EXPEDIENTE DE VENTA</t>
  </si>
  <si>
    <t>REQUISITOS EXPENDIENTE DE VENTA</t>
  </si>
  <si>
    <t>FILE TRASPASO DE VEHÍCULO</t>
  </si>
  <si>
    <t>N° CLIENTE:</t>
  </si>
  <si>
    <t>FIRMA:</t>
  </si>
  <si>
    <t>FIRMA :</t>
  </si>
  <si>
    <t>DECLARACIÓN DE EFECTIVO Y CUASI-EFECTIVO</t>
  </si>
  <si>
    <t>FORMULARIO ÚNICO PARA PERSONA NATURAL</t>
  </si>
  <si>
    <t>N°</t>
  </si>
  <si>
    <t>FECHA</t>
  </si>
  <si>
    <t>TIPO DE TRANSACCIÓN</t>
  </si>
  <si>
    <t>TIPO DE PRODUCTO O SERVICIO</t>
  </si>
  <si>
    <t>NOMBRE DEL PRODUCTO O SERVICIO</t>
  </si>
  <si>
    <t>MONTO DE LA TRANSACCIÓN (B/.)</t>
  </si>
  <si>
    <t>MONTO TOTAL</t>
  </si>
  <si>
    <t>EMPLEADO QUE REALIZÓ LA TRANSACCIÓN</t>
  </si>
  <si>
    <t>TIPO DE ID</t>
  </si>
  <si>
    <t>N° IDENTIFICACIÓN</t>
  </si>
  <si>
    <t>CARGO</t>
  </si>
  <si>
    <t>TIPO DEL CUASI-EFECTIVO</t>
  </si>
  <si>
    <t>N° CUASI-EFECTIVO</t>
  </si>
  <si>
    <t>EMISOR DEL 
CUASI-EFECTIVO</t>
  </si>
  <si>
    <t>BENEFICIARIO FINAL</t>
  </si>
  <si>
    <t>CANALES DE DISTRIBUCIÓN</t>
  </si>
  <si>
    <t>TIPO DE CANAL</t>
  </si>
  <si>
    <t>NOMBREL DEL CANAL</t>
  </si>
  <si>
    <t>DIRECCIÓN DEL CANAL</t>
  </si>
  <si>
    <t>PERSONA QUE REALIZA LA TRANSACCIÓN EN NOMBRE DEL CLIENTE</t>
  </si>
  <si>
    <t>TIPO ID</t>
  </si>
  <si>
    <t>DIRECCIÓN</t>
  </si>
  <si>
    <t>COLOR</t>
  </si>
  <si>
    <t>N° CHASIS</t>
  </si>
  <si>
    <t>N° MOTOR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</si>
  <si>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</si>
  <si>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TIPO DE TRANSACCIÓN:</t>
  </si>
  <si>
    <t>TIPO DE PRODUCTO O SERVICIO:</t>
  </si>
  <si>
    <t>NOMBRE DEL PRODUCTO O SERVICIO:</t>
  </si>
  <si>
    <t>DATOS DE LA TRANSACCIÓN DE EFECTIVO</t>
  </si>
  <si>
    <t>DATOS DE LA TRANSACCIÓN DE CUASI-EFECTIVO</t>
  </si>
  <si>
    <t>MONTO DE LA TRANSACCIÓN (B/.):</t>
  </si>
  <si>
    <t>GERENTE DE VENTAS:</t>
  </si>
  <si>
    <t>N° PLACA</t>
  </si>
  <si>
    <t>TIPO DEL CUASI-EFECTIVO:</t>
  </si>
  <si>
    <t>N° DEL CUASI-EFECTIVO:</t>
  </si>
  <si>
    <t>EMISOR  DEL CUASI-EFECTIVO:</t>
  </si>
  <si>
    <t>CARGO:</t>
  </si>
  <si>
    <t>TIPO DE IDENTIFICACIÓN:</t>
  </si>
  <si>
    <t>NÚMERO DE IDENTIFICACIÓN:</t>
  </si>
  <si>
    <t>TIPO DE CANAL:</t>
  </si>
  <si>
    <t>NOMBRE DEL CANAL:</t>
  </si>
  <si>
    <t>PROVINCIA:</t>
  </si>
  <si>
    <t>DISTRITO:</t>
  </si>
  <si>
    <t>CORREGIMIENTO:</t>
  </si>
  <si>
    <t>EDIFICIO: / BARRIADA:</t>
  </si>
  <si>
    <t>N° OFICINA:</t>
  </si>
  <si>
    <t>FORMULARIO DECLARACIÓN DE EFECTIVO Y CUASI EFECTIVO</t>
  </si>
  <si>
    <t>EFECTIVO</t>
  </si>
  <si>
    <t>CHEQUE DE GERENCIA AL PORTADOR</t>
  </si>
  <si>
    <t>ORDEN DE PAGO AL PORTADOR</t>
  </si>
  <si>
    <t>CHEQUE DE VIAJERO AL PORTADOR</t>
  </si>
  <si>
    <t>TIPO DE PRODUCTO</t>
  </si>
  <si>
    <t>AUTO USADO</t>
  </si>
  <si>
    <t>NOMBRE DEL PRODUCTO</t>
  </si>
  <si>
    <t>VEHÍCULO</t>
  </si>
  <si>
    <t>N° APTO / N° CASA / N° OFICINA:</t>
  </si>
  <si>
    <t>AVENIDA / CALLE:</t>
  </si>
  <si>
    <t>PROVINCIA / ESTADO:</t>
  </si>
  <si>
    <t>PERFIL FIINANCIERO</t>
  </si>
  <si>
    <t>NOMBRES Y APELLIDOS:</t>
  </si>
  <si>
    <t>RELACIÓN:</t>
  </si>
  <si>
    <t>TELÉFONO DE CONTACTO:</t>
  </si>
  <si>
    <t>ENTIDAD BANCARIA:</t>
  </si>
  <si>
    <t>TIPO CUENTA:</t>
  </si>
  <si>
    <t>RUC</t>
  </si>
  <si>
    <t>1466461-1-641048 DV 30</t>
  </si>
  <si>
    <t>419758-1-427175 DV 97</t>
  </si>
  <si>
    <t>CÉDULA</t>
  </si>
  <si>
    <t>PASAPORTE</t>
  </si>
  <si>
    <t>NÚMERO DE ID</t>
  </si>
  <si>
    <t>8-129-934</t>
  </si>
  <si>
    <t>X-XXX-XXX</t>
  </si>
  <si>
    <t>PROVINCIA</t>
  </si>
  <si>
    <t>CORREGIMIENTO</t>
  </si>
  <si>
    <t>SAN FRANCISCO</t>
  </si>
  <si>
    <t>BETHANIA</t>
  </si>
  <si>
    <t>N° CHASIS:</t>
  </si>
  <si>
    <t>N° MOTOR:</t>
  </si>
  <si>
    <t>N° PLACA:</t>
  </si>
  <si>
    <t>AVALUO FIRMADO POR ENCARGADO DE COMPRAS</t>
  </si>
  <si>
    <t>COPIA DE DOCUMENTO DE TRASPASO</t>
  </si>
  <si>
    <r>
      <t>Por este medio  yo, ________________________________</t>
    </r>
    <r>
      <rPr>
        <sz val="11"/>
        <color indexed="8"/>
        <rFont val="Arial"/>
        <family val="2"/>
      </rPr>
      <t>, con cédula de identidad personal número _____________________, autorizo a ___________________________, con cédula de identidad personal número:_______________________, realizar traspaso por venta del siguiente vehículo:</t>
    </r>
  </si>
  <si>
    <t>CHEQUE DE GERENCIA</t>
  </si>
  <si>
    <t>DEPOSITO EN CUENTA</t>
  </si>
  <si>
    <t>CHEQUE CONFORMABLE</t>
  </si>
  <si>
    <t>Forma de Pago:</t>
  </si>
  <si>
    <t>CONTRATO COMO ESTÁ Y DONDE ESTÁ</t>
  </si>
  <si>
    <t>COPIA FACTURA DE VENTA</t>
  </si>
  <si>
    <t>CONTRATO COMPRA AUTOS EN CONSIGNACIÓN</t>
  </si>
  <si>
    <t>CONTRATO COMO ESTÁ/DONDE ESTÁ</t>
  </si>
  <si>
    <t>DOCUMENTO EXONERACION TOTAL DE RESPONSABILIDAD</t>
  </si>
  <si>
    <t>HOJA DE ENTRADA (PAGO)</t>
  </si>
  <si>
    <t>RECIBO (S) DE PAGO</t>
  </si>
  <si>
    <t>PRIMER APELLIDO:</t>
  </si>
  <si>
    <t>SEGUNDO APELLIDO:</t>
  </si>
  <si>
    <t>RECIBO DE ABONO</t>
  </si>
  <si>
    <t>RECIBO DE TRASPASO</t>
  </si>
  <si>
    <t>PANAMÁ CAR RENTAL, S.A.</t>
  </si>
  <si>
    <t>EVALUACION DEL RIESGO</t>
  </si>
  <si>
    <t>A</t>
  </si>
  <si>
    <t>TOTAL R</t>
  </si>
  <si>
    <t>B</t>
  </si>
  <si>
    <t>C</t>
  </si>
  <si>
    <t xml:space="preserve">TOTAL </t>
  </si>
  <si>
    <t>TOTAL 20%</t>
  </si>
  <si>
    <t>ACTIVIDADES:</t>
  </si>
  <si>
    <t>INGRESOS ANUALES DE LA ACTIVIDAD PRINCIPAL MAYOR DE USD 1 MM</t>
  </si>
  <si>
    <t>DE USD 1 A 5 MM</t>
  </si>
  <si>
    <t>DE USD 5 A 10 MM</t>
  </si>
  <si>
    <t>DE USD 10 A 20 MM</t>
  </si>
  <si>
    <t>MAS DE USD 20 MM</t>
  </si>
  <si>
    <t>INGRESOS ANUALES POR ACTIVIDAD MAYOR DE USD 1 MM</t>
  </si>
  <si>
    <t>D</t>
  </si>
  <si>
    <t>TOTAL</t>
  </si>
  <si>
    <t>TELÉFONO CONTACTO:</t>
  </si>
  <si>
    <t>REFERENCIA BANCARIA:</t>
  </si>
  <si>
    <t>EMPRESA</t>
  </si>
  <si>
    <t xml:space="preserve">BENEFICIARIO FINAL /REPRESENTANTE LEGAL / APODERADO   </t>
  </si>
  <si>
    <t>E</t>
  </si>
  <si>
    <t>NACIONALIDAD</t>
  </si>
  <si>
    <t>Lista GAFI</t>
  </si>
  <si>
    <t>Narcotrafico</t>
  </si>
  <si>
    <t>Lavado de Dinero</t>
  </si>
  <si>
    <t>Trata de Personas</t>
  </si>
  <si>
    <t>Corrupción</t>
  </si>
  <si>
    <t>Terrorismo</t>
  </si>
  <si>
    <t>Promedio</t>
  </si>
  <si>
    <t>Puntaje</t>
  </si>
  <si>
    <t>AFGANA</t>
  </si>
  <si>
    <t>ALBANESA</t>
  </si>
  <si>
    <t>ALEMANA</t>
  </si>
  <si>
    <t>ANDORRANA</t>
  </si>
  <si>
    <t>ANGOLEÑA</t>
  </si>
  <si>
    <t>ANTIGUANA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</si>
  <si>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</si>
  <si>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</si>
  <si>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</si>
  <si>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</si>
  <si>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</si>
  <si>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</si>
  <si>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</si>
  <si>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</si>
  <si>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</si>
  <si>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</si>
  <si>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</si>
  <si>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</si>
  <si>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</si>
  <si>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</si>
  <si>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</si>
  <si>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</si>
  <si>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</si>
  <si>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</si>
  <si>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</si>
  <si>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</si>
  <si>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</si>
  <si>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</si>
  <si>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CABOVERDIANA</t>
  </si>
  <si>
    <t>CAMBOYANA</t>
  </si>
  <si>
    <t>CAMERUNESA</t>
  </si>
  <si>
    <t>CANADIENSE</t>
  </si>
  <si>
    <t>CATARÍ</t>
  </si>
  <si>
    <t>CEILANESA</t>
  </si>
  <si>
    <t>CENTROAFRICANA</t>
  </si>
  <si>
    <t>CHADIANA</t>
  </si>
  <si>
    <t>CHECA</t>
  </si>
  <si>
    <t>CHILENA</t>
  </si>
  <si>
    <t>CHIPRIOTA</t>
  </si>
  <si>
    <t>COLOMBIANA</t>
  </si>
  <si>
    <t>COMORENSA</t>
  </si>
  <si>
    <t>CONGOLEÑA</t>
  </si>
  <si>
    <t>COSTARRICENSE</t>
  </si>
  <si>
    <t>CROATA</t>
  </si>
  <si>
    <t>CUBANA</t>
  </si>
  <si>
    <t>DANESA</t>
  </si>
  <si>
    <t>DOMINICANA</t>
  </si>
  <si>
    <t>DOMINIQUESA</t>
  </si>
  <si>
    <t>ECUATOGUINEANA</t>
  </si>
  <si>
    <t>ECUATORIANA</t>
  </si>
  <si>
    <t>EGIPCIA</t>
  </si>
  <si>
    <t>ESLOVACA</t>
  </si>
  <si>
    <t>ESLOVENA</t>
  </si>
  <si>
    <t>ESPAÑOLA</t>
  </si>
  <si>
    <t>ESTADOUNIDENSE</t>
  </si>
  <si>
    <t>ETIOPE</t>
  </si>
  <si>
    <t>FIJIANA</t>
  </si>
  <si>
    <t>FILANDESA</t>
  </si>
  <si>
    <t>FILIPINA</t>
  </si>
  <si>
    <t>FRANCESA</t>
  </si>
  <si>
    <t>GABONESA</t>
  </si>
  <si>
    <t>GAMBIANA</t>
  </si>
  <si>
    <t>GEORGIANA</t>
  </si>
  <si>
    <t>GHANESA</t>
  </si>
  <si>
    <t>GRANADINA</t>
  </si>
  <si>
    <t>GRIEGA</t>
  </si>
  <si>
    <t>GUATEMALTECA</t>
  </si>
  <si>
    <t>GUINEANA</t>
  </si>
  <si>
    <t>GUYANESA</t>
  </si>
  <si>
    <t>HAITIANA</t>
  </si>
  <si>
    <t>HOLANDES</t>
  </si>
  <si>
    <t>HONDUREÑA</t>
  </si>
  <si>
    <t>HUNGARA</t>
  </si>
  <si>
    <t>INDONESA</t>
  </si>
  <si>
    <t>INGLESA</t>
  </si>
  <si>
    <t>IRANÍ</t>
  </si>
  <si>
    <t>IRAQUÍ</t>
  </si>
  <si>
    <t>IRLANDESA</t>
  </si>
  <si>
    <t>ISLANDESA</t>
  </si>
  <si>
    <t>ISRAELÍ</t>
  </si>
  <si>
    <t>ITALIANA</t>
  </si>
  <si>
    <t>JAMAIQUINA</t>
  </si>
  <si>
    <t>JAPONESA</t>
  </si>
  <si>
    <t>JORDANA</t>
  </si>
  <si>
    <t>KASAKA</t>
  </si>
  <si>
    <t>KENIANA</t>
  </si>
  <si>
    <t>KIRGUISA</t>
  </si>
  <si>
    <t>KIRIBATIANA</t>
  </si>
  <si>
    <t>KUWAITI</t>
  </si>
  <si>
    <t>LAOSIANA</t>
  </si>
  <si>
    <t>LESOTENSA</t>
  </si>
  <si>
    <t>LETONA</t>
  </si>
  <si>
    <t>LIBANESA</t>
  </si>
  <si>
    <t>LIBERIANA</t>
  </si>
  <si>
    <t>LIECHTENSTEINIANA</t>
  </si>
  <si>
    <t>LITUANA</t>
  </si>
  <si>
    <t>LUXEMBURGUESA</t>
  </si>
  <si>
    <t>MACEDONIA</t>
  </si>
  <si>
    <t>MALAUÍ</t>
  </si>
  <si>
    <t>MALDIVA</t>
  </si>
  <si>
    <t>MALGACHE</t>
  </si>
  <si>
    <t>MALTES</t>
  </si>
  <si>
    <t>MARFILEÑA</t>
  </si>
  <si>
    <t>MARROQUI</t>
  </si>
  <si>
    <t>MARSHALESA</t>
  </si>
  <si>
    <t>MAURICIANA</t>
  </si>
  <si>
    <t>MAURITANA</t>
  </si>
  <si>
    <t>MEXICANA</t>
  </si>
  <si>
    <t>MOLDAVA</t>
  </si>
  <si>
    <t>MONEGASCA</t>
  </si>
  <si>
    <t>MONGOLESA</t>
  </si>
  <si>
    <t>MONTENEGRINA</t>
  </si>
  <si>
    <t>MOZAMBIQUEÑA</t>
  </si>
  <si>
    <t>MYANMAR</t>
  </si>
  <si>
    <t>NAURUANA</t>
  </si>
  <si>
    <t>NEOZELANDESA</t>
  </si>
  <si>
    <t>NEPALÍ</t>
  </si>
  <si>
    <t>NICARAGUENSE</t>
  </si>
  <si>
    <t>NIGERIANA</t>
  </si>
  <si>
    <t>NIGERINA</t>
  </si>
  <si>
    <t>NORCOREANA</t>
  </si>
  <si>
    <t>OMANÍ</t>
  </si>
  <si>
    <t>PAKISTANÍ</t>
  </si>
  <si>
    <t>PALAUANA</t>
  </si>
  <si>
    <t>PANAMEÑA</t>
  </si>
  <si>
    <t>PAPÚ</t>
  </si>
  <si>
    <t>PARAGUAYA</t>
  </si>
  <si>
    <t>PERUANA</t>
  </si>
  <si>
    <t>POLACA</t>
  </si>
  <si>
    <t>PORTUGUESA</t>
  </si>
  <si>
    <t>RUANDESA</t>
  </si>
  <si>
    <t>RUMANA</t>
  </si>
  <si>
    <t>RUSA</t>
  </si>
  <si>
    <t>SALOMONENSA</t>
  </si>
  <si>
    <t>SALVADOREÑA</t>
  </si>
  <si>
    <t>SAMOANA</t>
  </si>
  <si>
    <t>SANMARINENSA</t>
  </si>
  <si>
    <t>SANTALUCENSA</t>
  </si>
  <si>
    <t>SANTOTOMENSA</t>
  </si>
  <si>
    <t>SANVICENTINA</t>
  </si>
  <si>
    <t>SAUDITA</t>
  </si>
  <si>
    <t>SENEGALÍ</t>
  </si>
  <si>
    <t>SEYCHELENSA</t>
  </si>
  <si>
    <t>SIERRALEONESA</t>
  </si>
  <si>
    <t>SOMALÍ</t>
  </si>
  <si>
    <t>SUAZI</t>
  </si>
  <si>
    <t>SUDAFRICANA</t>
  </si>
  <si>
    <t>SUDANESA</t>
  </si>
  <si>
    <t>SUECA</t>
  </si>
  <si>
    <t>SURCOREANA</t>
  </si>
  <si>
    <t>SURINAMESA</t>
  </si>
  <si>
    <t>TAILANDESA</t>
  </si>
  <si>
    <t>TANZANA</t>
  </si>
  <si>
    <t>TAYIKA</t>
  </si>
  <si>
    <t>TIMORENSA</t>
  </si>
  <si>
    <t>TOGOLESA</t>
  </si>
  <si>
    <t>TONGANA</t>
  </si>
  <si>
    <t>TRINITARIA</t>
  </si>
  <si>
    <t>TUNECINA</t>
  </si>
  <si>
    <t>TURCA</t>
  </si>
  <si>
    <t>TURKMENA</t>
  </si>
  <si>
    <t>TUVALUANA</t>
  </si>
  <si>
    <t>UCRANIANA</t>
  </si>
  <si>
    <t>UGANDESA</t>
  </si>
  <si>
    <t>URUGUAYA</t>
  </si>
  <si>
    <t>UZBEKA</t>
  </si>
  <si>
    <t>VANUATENSA</t>
  </si>
  <si>
    <t>VENEZOLANA</t>
  </si>
  <si>
    <t>VIENTAMITA</t>
  </si>
  <si>
    <t>YEMENÍ</t>
  </si>
  <si>
    <t>YIBUTIANA</t>
  </si>
  <si>
    <t>ZAMBIANA</t>
  </si>
  <si>
    <t>ZIMBAUEÑA</t>
  </si>
  <si>
    <t>Cumplimiento</t>
  </si>
  <si>
    <t>TOTAL C</t>
  </si>
  <si>
    <t>RIESGO 5%</t>
  </si>
  <si>
    <t>TOTAL 50%</t>
  </si>
  <si>
    <t>PERSONA NATURAL</t>
  </si>
  <si>
    <t>CUMPLIMIENTO DE REQUISITOS</t>
  </si>
  <si>
    <t>POLÍTICA CONOCE A TU CLIENTE</t>
  </si>
  <si>
    <t>PUNTUACIÓN CUMPLIMIENTO</t>
  </si>
  <si>
    <t>POLITICA CONOCE A TU CLIENTE</t>
  </si>
  <si>
    <t>N° CLENTE GENSYS:</t>
  </si>
  <si>
    <t>Puntuación del File</t>
  </si>
  <si>
    <t>PÁRAMETROS DE  CUMPLIMIENTO</t>
  </si>
  <si>
    <t>Requerimiento Obtenido</t>
  </si>
  <si>
    <t>% Cumpl.</t>
  </si>
  <si>
    <t>% 
Pond.</t>
  </si>
  <si>
    <t>Punt.</t>
  </si>
  <si>
    <t>Declaraciones / Consentimiento / Perfil Financiero</t>
  </si>
  <si>
    <t>Referencias Comerciales / Personales / Bancarias</t>
  </si>
  <si>
    <t>Documentación Requerida</t>
  </si>
  <si>
    <t>CATEGORÍA</t>
  </si>
  <si>
    <t>PUNTAJE</t>
  </si>
  <si>
    <t>SUFICIENTE</t>
  </si>
  <si>
    <t>DEFICIENTE</t>
  </si>
  <si>
    <t>CÉDULA O PASAPORTE:</t>
  </si>
  <si>
    <t>Datos Generales del Cliente</t>
  </si>
  <si>
    <t>Datos Ocupacionales del Clientes</t>
  </si>
  <si>
    <t>Categoria</t>
  </si>
  <si>
    <t>Categoría</t>
  </si>
  <si>
    <t>CLASIFICACIÓN CUALITATIVA Y CUANTITATIVA DEL CUMPLIMIENTO</t>
  </si>
  <si>
    <t>NO FINANCIADO</t>
  </si>
  <si>
    <t>Puntaje Max</t>
  </si>
  <si>
    <r>
      <rPr>
        <b/>
        <sz val="11"/>
        <color theme="1"/>
        <rFont val="Calibri"/>
        <family val="2"/>
        <scheme val="minor"/>
      </rPr>
      <t>EL   VEHÍCULO</t>
    </r>
    <r>
      <rPr>
        <sz val="11"/>
        <color theme="1"/>
        <rFont val="Calibri"/>
        <family val="2"/>
        <scheme val="minor"/>
      </rPr>
      <t>,   por  parte  de  la  empresa</t>
    </r>
  </si>
  <si>
    <r>
      <t xml:space="preserve">He aceptado recibir </t>
    </r>
    <r>
      <rPr>
        <b/>
        <sz val="11"/>
        <color theme="1"/>
        <rFont val="Calibri"/>
        <family val="2"/>
        <scheme val="minor"/>
      </rPr>
      <t>EL VEHÍCULO</t>
    </r>
    <r>
      <rPr>
        <sz val="11"/>
        <color theme="1"/>
        <rFont val="Calibri"/>
        <family val="2"/>
        <scheme val="minor"/>
      </rPr>
      <t xml:space="preserve"> que aunque todavía no ha sido traspasado a mi persona ya que quisiera recibir </t>
    </r>
    <r>
      <rPr>
        <b/>
        <sz val="11"/>
        <color theme="1"/>
        <rFont val="Calibri"/>
        <family val="2"/>
        <scheme val="minor"/>
      </rPr>
      <t>EL VEHÍCULO</t>
    </r>
    <r>
      <rPr>
        <sz val="11"/>
        <color theme="1"/>
        <rFont val="Calibri"/>
        <family val="2"/>
        <scheme val="minor"/>
      </rPr>
      <t xml:space="preserve"> el día de hoy.  El traspaso de la propiedad  de  </t>
    </r>
    <r>
      <rPr>
        <b/>
        <sz val="11"/>
        <color theme="1"/>
        <rFont val="Calibri"/>
        <family val="2"/>
        <scheme val="minor"/>
      </rPr>
      <t>EL  VEHÍCULO</t>
    </r>
    <r>
      <rPr>
        <sz val="11"/>
        <color theme="1"/>
        <rFont val="Calibri"/>
        <family val="2"/>
        <scheme val="minor"/>
      </rPr>
      <t xml:space="preserve">  estará  en  trámite  y  seré  yo  quien  tenga  en todo  momento,   la   posesión,   uso,   gose  y   disfrute   de  </t>
    </r>
    <r>
      <rPr>
        <b/>
        <sz val="11"/>
        <color theme="1"/>
        <rFont val="Calibri"/>
        <family val="2"/>
        <scheme val="minor"/>
      </rPr>
      <t>EL  VEHÍCULO</t>
    </r>
    <r>
      <rPr>
        <sz val="11"/>
        <color theme="1"/>
        <rFont val="Calibri"/>
        <family val="2"/>
        <scheme val="minor"/>
      </rPr>
      <t xml:space="preserve">,  a   pesar,  de  que  permanezca inscrito  a nombre  de </t>
    </r>
    <r>
      <rPr>
        <b/>
        <sz val="11"/>
        <color theme="1"/>
        <rFont val="Calibri"/>
        <family val="2"/>
        <scheme val="minor"/>
      </rPr>
      <t>PANAMÁ CAR RENTAL</t>
    </r>
    <r>
      <rPr>
        <sz val="11"/>
        <color theme="1"/>
        <rFont val="Calibri"/>
        <family val="2"/>
        <scheme val="minor"/>
      </rPr>
      <t>.</t>
    </r>
  </si>
  <si>
    <r>
      <t xml:space="preserve">Me queda entendido, que una vez adquirido </t>
    </r>
    <r>
      <rPr>
        <b/>
        <sz val="11"/>
        <color theme="1"/>
        <rFont val="Calibri"/>
        <family val="2"/>
        <scheme val="minor"/>
      </rPr>
      <t>EL VEHÍCULO</t>
    </r>
    <r>
      <rPr>
        <sz val="11"/>
        <color theme="1"/>
        <rFont val="Calibri"/>
        <family val="2"/>
        <scheme val="minor"/>
      </rPr>
      <t xml:space="preserve"> y yo esté en posesión del mismo, estará provisto del correspondiente seguro contra daños y personas con las coberturas, tal como lo exige el Reglamento Tránsito Vehicular de la República de Panama, en el Capítulo III que establece lo siguiente:
"</t>
    </r>
    <r>
      <rPr>
        <b/>
        <sz val="11"/>
        <color theme="1"/>
        <rFont val="Calibri"/>
        <family val="2"/>
        <scheme val="minor"/>
      </rPr>
      <t>A. DE LA RESPONSABILIDAD CIVIL POR ACCIDENTES DE TRÁNSITO</t>
    </r>
    <r>
      <rPr>
        <sz val="11"/>
        <color theme="1"/>
        <rFont val="Calibri"/>
        <family val="2"/>
        <scheme val="minor"/>
      </rPr>
      <t xml:space="preserve">
</t>
    </r>
    <r>
      <rPr>
        <b/>
        <sz val="11"/>
        <color theme="1"/>
        <rFont val="Calibri"/>
        <family val="2"/>
        <scheme val="minor"/>
      </rPr>
      <t>Artículo 236</t>
    </r>
    <r>
      <rPr>
        <sz val="11"/>
        <color theme="1"/>
        <rFont val="Calibri"/>
        <family val="2"/>
        <scheme val="minor"/>
      </rPr>
      <t xml:space="preserve">. Los propietarios de vehículos están obligados a mantener vigente un seguro de responsabilidad civil que comprenda como mínimo:
a. Responsabilidad por daño a la propiedad ajena por el monto mínimo de B/. 5,000.00.
b. Responsabilidad de lesiones corporales de B/. 5,000.00 por persona y B/. 10,000.00, por accidente".
Por lo tanto, es de mi conocimiento que </t>
    </r>
    <r>
      <rPr>
        <b/>
        <sz val="11"/>
        <color theme="1"/>
        <rFont val="Calibri"/>
        <family val="2"/>
        <scheme val="minor"/>
      </rPr>
      <t>EL VENDEDOR</t>
    </r>
    <r>
      <rPr>
        <sz val="11"/>
        <color theme="1"/>
        <rFont val="Calibri"/>
        <family val="2"/>
        <scheme val="minor"/>
      </rPr>
      <t xml:space="preserve"> queda exento de cualquier tipo de responsabilidad que pudiera derivarse en el supuesto de que el automóvil que vende circulase sin seguro, sirviendo el presente documento como el más eficaz medio para la transmisión de la propiedad a </t>
    </r>
    <r>
      <rPr>
        <b/>
        <sz val="11"/>
        <color theme="1"/>
        <rFont val="Calibri"/>
        <family val="2"/>
        <scheme val="minor"/>
      </rPr>
      <t>EL COMPRADOR</t>
    </r>
    <r>
      <rPr>
        <sz val="11"/>
        <color theme="1"/>
        <rFont val="Calibri"/>
        <family val="2"/>
        <scheme val="minor"/>
      </rPr>
      <t xml:space="preserve">, con independencia del período de tiempo que transcurra hasta que se hubiese completado la transferencia.
</t>
    </r>
  </si>
  <si>
    <t>FORTUNER</t>
  </si>
  <si>
    <t>PRADO</t>
  </si>
  <si>
    <t>TRANSACCIÓN DE VENTA:</t>
  </si>
  <si>
    <t>Carta Promesa:</t>
  </si>
  <si>
    <t>Banco:</t>
  </si>
  <si>
    <t>ORLANDO DE LA ESPADA</t>
  </si>
  <si>
    <t>EMMA URDANETA</t>
  </si>
  <si>
    <t>DIOVELIS CAMPOS</t>
  </si>
  <si>
    <t>ALBIN BORBUA</t>
  </si>
  <si>
    <t>CARLOS CHAMORRO</t>
  </si>
  <si>
    <t>SERGIO DEL RIO</t>
  </si>
  <si>
    <t>NATALIE CUVILLIER</t>
  </si>
  <si>
    <t>CHRISTIAN RUIZ</t>
  </si>
  <si>
    <t>PAOLA ERAZO</t>
  </si>
  <si>
    <t>KATIBEL SAA</t>
  </si>
  <si>
    <t>ALEXIS LOPEZ</t>
  </si>
  <si>
    <t>ARIEL ACEVEDO</t>
  </si>
  <si>
    <t>KEVIN PINZON</t>
  </si>
  <si>
    <t>MISAEL PEREZ</t>
  </si>
  <si>
    <t>ZUSSETT YOUNG</t>
  </si>
  <si>
    <t>VICTORIA SÁNCHEZ</t>
  </si>
  <si>
    <t>CHORRERA</t>
  </si>
  <si>
    <t>DAVID</t>
  </si>
  <si>
    <t>HINO</t>
  </si>
  <si>
    <t>ACCENT SOLARIS</t>
  </si>
  <si>
    <t>APV</t>
  </si>
  <si>
    <t>COASTER</t>
  </si>
  <si>
    <t>CRETA</t>
  </si>
  <si>
    <t>DUTRO</t>
  </si>
  <si>
    <t>FUSO</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</si>
  <si>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</si>
  <si>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</si>
  <si>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</si>
  <si>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</si>
  <si>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</si>
  <si>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</si>
  <si>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</si>
  <si>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</si>
  <si>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</si>
  <si>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</si>
  <si>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</si>
  <si>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</si>
  <si>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</si>
  <si>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</si>
  <si>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</si>
  <si>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</si>
  <si>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</si>
  <si>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</si>
  <si>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</si>
  <si>
    <t>N° INTELISIS:</t>
  </si>
  <si>
    <t xml:space="preserve">LOGO GRUPO PCR </t>
  </si>
  <si>
    <t xml:space="preserve">DETALLE DE TRANSACCION DE PAGO </t>
  </si>
  <si>
    <t xml:space="preserve">DETALLE DE TRANSACCIONES DE PAGO </t>
  </si>
  <si>
    <t xml:space="preserve">FORMULARIO 1 PERSONA NATURAL </t>
  </si>
  <si>
    <t>FORMULARIO 3</t>
  </si>
  <si>
    <t xml:space="preserve">FOMRULARIO 4 </t>
  </si>
  <si>
    <t xml:space="preserve">FORMULARIO 5 </t>
  </si>
  <si>
    <t xml:space="preserve">FORMULARIO 7 </t>
  </si>
  <si>
    <t>FORMULARIO DE DEBIDA DILIGENCIA CLIENTE PERSONA NATURAL</t>
  </si>
  <si>
    <t xml:space="preserve">CÓDIGO: PCR-CUMP-FORM01 </t>
  </si>
  <si>
    <t>VERSIÓN 01-2021</t>
  </si>
  <si>
    <t>Género</t>
  </si>
  <si>
    <t>Masculino</t>
  </si>
  <si>
    <t>Femenino</t>
  </si>
  <si>
    <t>GÉNERO:</t>
  </si>
  <si>
    <t>Estado civil</t>
  </si>
  <si>
    <t>Soltero</t>
  </si>
  <si>
    <t>Casado</t>
  </si>
  <si>
    <t>PAÍS(ES) DE RESIDENCIA FISCAL:</t>
  </si>
  <si>
    <t>Países</t>
  </si>
  <si>
    <t>Afghanistan</t>
  </si>
  <si>
    <t>Åland Islands</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</si>
  <si>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</si>
  <si>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</si>
  <si>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</si>
  <si>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</si>
  <si>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</si>
  <si>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</si>
  <si>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</si>
  <si>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</si>
  <si>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</si>
  <si>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</si>
  <si>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</si>
  <si>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</si>
  <si>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</si>
  <si>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</si>
  <si>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</si>
  <si>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</si>
  <si>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</si>
  <si>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</si>
  <si>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</si>
  <si>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</si>
  <si>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</si>
  <si>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</si>
  <si>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</si>
  <si>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</si>
  <si>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Bonaire, Sint Eustatius and Saba</t>
  </si>
  <si>
    <t>Bosnia-Herzegovina</t>
  </si>
  <si>
    <t>Brazil</t>
  </si>
  <si>
    <t>British Indian Ocean Territory</t>
  </si>
  <si>
    <t>British Virgin Islands</t>
  </si>
  <si>
    <t>Brunei Darussalam</t>
  </si>
  <si>
    <t>Bulgaria</t>
  </si>
  <si>
    <t>Burundi</t>
  </si>
  <si>
    <t>Cambodia</t>
  </si>
  <si>
    <t>Cameroon</t>
  </si>
  <si>
    <t>Canada</t>
  </si>
  <si>
    <t>Cape Verde</t>
  </si>
  <si>
    <t>Cayman Islands</t>
  </si>
  <si>
    <t>Central African Rep</t>
  </si>
  <si>
    <t>Chad</t>
  </si>
  <si>
    <t>Chile</t>
  </si>
  <si>
    <t>China</t>
  </si>
  <si>
    <t>Christmas Island</t>
  </si>
  <si>
    <t>Cocos (Keeling) Islands</t>
  </si>
  <si>
    <t>Colombia</t>
  </si>
  <si>
    <t>Comoros</t>
  </si>
  <si>
    <t>Congo (Brazzaville)</t>
  </si>
  <si>
    <t>Congo, the Democratic Republic</t>
  </si>
  <si>
    <t>Cook Islands</t>
  </si>
  <si>
    <t>Costa Rica</t>
  </si>
  <si>
    <t>Cote D'Ivoire</t>
  </si>
  <si>
    <t>Croatia</t>
  </si>
  <si>
    <t>Cuba</t>
  </si>
  <si>
    <t>Curacao</t>
  </si>
  <si>
    <t>Cyprus</t>
  </si>
  <si>
    <t>Czech Republic</t>
  </si>
  <si>
    <t>Denmark</t>
  </si>
  <si>
    <t>Djibouti</t>
  </si>
  <si>
    <t>Dominica </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</si>
  <si>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</si>
  <si>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</si>
  <si>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</si>
  <si>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</si>
  <si>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</si>
  <si>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</si>
  <si>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</si>
  <si>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</si>
  <si>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</si>
  <si>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</si>
  <si>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</si>
  <si>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</si>
  <si>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</si>
  <si>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</si>
  <si>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</si>
  <si>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Gabon</t>
  </si>
  <si>
    <t>Gambia</t>
  </si>
  <si>
    <t>Gaza Strip</t>
  </si>
  <si>
    <t>Georgia</t>
  </si>
  <si>
    <t>Germany</t>
  </si>
  <si>
    <t>Ghana</t>
  </si>
  <si>
    <t>Gibraltar</t>
  </si>
  <si>
    <t>Greece</t>
  </si>
  <si>
    <t>Greenland</t>
  </si>
  <si>
    <t>Grenada</t>
  </si>
  <si>
    <t>Guadeloupe</t>
  </si>
  <si>
    <t>Guam</t>
  </si>
  <si>
    <t>Guatemala</t>
  </si>
  <si>
    <t>Guernsey </t>
  </si>
  <si>
    <t>Guinea</t>
  </si>
  <si>
    <t>Guinea Bissau</t>
  </si>
  <si>
    <t>Guyana</t>
  </si>
  <si>
    <t>Haiti</t>
  </si>
  <si>
    <t>Honduras</t>
  </si>
  <si>
    <t>Hong Kong</t>
  </si>
  <si>
    <t>Hungary</t>
  </si>
  <si>
    <t>Iceland</t>
  </si>
  <si>
    <t>India</t>
  </si>
  <si>
    <t>Indonesia</t>
  </si>
  <si>
    <t>Iran, Islamic Republic of</t>
  </si>
  <si>
    <t>Iraq</t>
  </si>
  <si>
    <t>Ireland</t>
  </si>
  <si>
    <t>Isle Of Man</t>
  </si>
  <si>
    <t>Israel</t>
  </si>
  <si>
    <t>Italy</t>
  </si>
  <si>
    <t>Jamaica</t>
  </si>
  <si>
    <t>Japan</t>
  </si>
  <si>
    <t>Jersey </t>
  </si>
  <si>
    <t>Jordan</t>
  </si>
  <si>
    <t>Kazakhstan</t>
  </si>
  <si>
    <t>Kenya</t>
  </si>
  <si>
    <t>Kiribati</t>
  </si>
  <si>
    <t>Kosovo</t>
  </si>
  <si>
    <t>Kuwait</t>
  </si>
  <si>
    <t>Kyrgyzstan</t>
  </si>
  <si>
    <t>Lao People's Democratic Republic</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</si>
  <si>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</si>
  <si>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</si>
  <si>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</si>
  <si>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</si>
  <si>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</si>
  <si>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</si>
  <si>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</si>
  <si>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</si>
  <si>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</si>
  <si>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</si>
  <si>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</si>
  <si>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</si>
  <si>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</si>
  <si>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</si>
  <si>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</si>
  <si>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</si>
  <si>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</si>
  <si>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</si>
  <si>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</si>
  <si>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</si>
  <si>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</si>
  <si>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</si>
  <si>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</si>
  <si>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</si>
  <si>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</si>
  <si>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</si>
  <si>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</si>
  <si>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</si>
  <si>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</si>
  <si>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</si>
  <si>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</si>
  <si>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</si>
  <si>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</si>
  <si>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</si>
  <si>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</si>
  <si>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</si>
  <si>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</si>
  <si>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</si>
  <si>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</si>
  <si>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</si>
  <si>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</si>
  <si>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</si>
  <si>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 Mariana Islands</t>
  </si>
  <si>
    <t>Norway</t>
  </si>
  <si>
    <t>Oman</t>
  </si>
  <si>
    <t>Pakistan</t>
  </si>
  <si>
    <t>Palau</t>
  </si>
  <si>
    <t>Panama</t>
  </si>
  <si>
    <t>Papua New Guinea</t>
  </si>
  <si>
    <t>Paraguay</t>
  </si>
  <si>
    <t>Peru</t>
  </si>
  <si>
    <t>Philippines</t>
  </si>
  <si>
    <t>Pitcairn</t>
  </si>
  <si>
    <t>Poland</t>
  </si>
  <si>
    <t>Portugal</t>
  </si>
  <si>
    <t>Puerto Rico</t>
  </si>
  <si>
    <t>Qatar </t>
  </si>
  <si>
    <t>Réunion</t>
  </si>
  <si>
    <t>Romania</t>
  </si>
  <si>
    <t>Russian Federation</t>
  </si>
  <si>
    <t>Rwanda</t>
  </si>
  <si>
    <t>Saint Berthélemy</t>
  </si>
  <si>
    <t>Saint Helena, Ascension and Trista</t>
  </si>
  <si>
    <t>Saint Martin (French part)</t>
  </si>
  <si>
    <t>Saint Pierre and Miquelon</t>
  </si>
  <si>
    <t>Samoa</t>
  </si>
  <si>
    <t>San Marino</t>
  </si>
  <si>
    <t>Sao Tome &amp; Prin.</t>
  </si>
  <si>
    <t>Saudi Arabia</t>
  </si>
  <si>
    <t>Senegal</t>
  </si>
  <si>
    <t>Serbia</t>
  </si>
  <si>
    <t>Seychelles</t>
  </si>
  <si>
    <t>Sierra Leone</t>
  </si>
  <si>
    <t>Singapore</t>
  </si>
  <si>
    <t>Slovakia</t>
  </si>
  <si>
    <t>Slovenia</t>
  </si>
  <si>
    <t>Solomon Islands</t>
  </si>
  <si>
    <t>Somalia</t>
  </si>
  <si>
    <t>South Africa</t>
  </si>
  <si>
    <t>South Korea </t>
  </si>
  <si>
    <t>South Sudan</t>
  </si>
  <si>
    <t>Spain</t>
  </si>
  <si>
    <t>Sri Lanka</t>
  </si>
  <si>
    <t>St Kitts &amp; Nevis</t>
  </si>
  <si>
    <t>St Lucia</t>
  </si>
  <si>
    <t>St Maarten</t>
  </si>
  <si>
    <t>St Vincent &amp; Gren</t>
  </si>
  <si>
    <t>Sudan</t>
  </si>
  <si>
    <t>Suriname</t>
  </si>
  <si>
    <t>Svalbard and Mayen</t>
  </si>
  <si>
    <t>Swaziland (Eswatini)</t>
  </si>
  <si>
    <t>Sweden</t>
  </si>
  <si>
    <t>Switzerland</t>
  </si>
  <si>
    <t>Syria</t>
  </si>
  <si>
    <t>Taiwan</t>
  </si>
  <si>
    <t>Tajikistan</t>
  </si>
  <si>
    <t>Tanzania</t>
  </si>
  <si>
    <t>Thailand</t>
  </si>
  <si>
    <t>Timor-Leste</t>
  </si>
  <si>
    <t>Togo</t>
  </si>
  <si>
    <t>Tokelau</t>
  </si>
  <si>
    <t>Tonga</t>
  </si>
  <si>
    <t>Trinidad &amp; Tobago</t>
  </si>
  <si>
    <t>Tunisia</t>
  </si>
  <si>
    <t>Turkey</t>
  </si>
  <si>
    <t>Turkmenistan</t>
  </si>
  <si>
    <t>Turks &amp; Caicos</t>
  </si>
  <si>
    <t>Tuvalu</t>
  </si>
  <si>
    <t>Uganda</t>
  </si>
  <si>
    <t>Ukraine</t>
  </si>
  <si>
    <t>United Arab Emirates</t>
  </si>
  <si>
    <t>United Kingdom</t>
  </si>
  <si>
    <t>United States</t>
  </si>
  <si>
    <t>United States Virgin Islands</t>
  </si>
  <si>
    <t>Uruguay</t>
  </si>
  <si>
    <t>Uzbekistan</t>
  </si>
  <si>
    <t>Vanuatu</t>
  </si>
  <si>
    <t>Vatican City State (Holy See)</t>
  </si>
  <si>
    <t>Venezuela</t>
  </si>
  <si>
    <t>Vietnam</t>
  </si>
  <si>
    <t>Wallis and Futuna</t>
  </si>
  <si>
    <t>Western Sahara</t>
  </si>
  <si>
    <t>Yemen</t>
  </si>
  <si>
    <t>Zambia</t>
  </si>
  <si>
    <t>Zimbabwe</t>
  </si>
  <si>
    <t xml:space="preserve">Botswana </t>
  </si>
  <si>
    <t xml:space="preserve">Burkina Faso </t>
  </si>
  <si>
    <t xml:space="preserve">Mauritius </t>
  </si>
  <si>
    <t>West Bank (Palestinian Territory)+B288</t>
  </si>
  <si>
    <t>TELÉFONO CELULAR:</t>
  </si>
  <si>
    <t>LUGAR DE TRABAJO:</t>
  </si>
  <si>
    <t>CORREO ELECTRÓNICO DE TRABAJO:</t>
  </si>
  <si>
    <t>TELÉFONO DE TRABAJO:</t>
  </si>
  <si>
    <t>LICITA CON EL ESTADO:</t>
  </si>
  <si>
    <t>DIRECCIÓN DE TRABAJO:</t>
  </si>
  <si>
    <t>Respuestas</t>
  </si>
  <si>
    <t>SI</t>
  </si>
  <si>
    <t>NO</t>
  </si>
  <si>
    <t>DECLARACIÓN DE FUENTE Y ORIGEN DE LOS FONDOS</t>
  </si>
  <si>
    <t>DECLARO QUE LOS FONDOS PARA EFECTUAR LA TRANSACCIÓN DE COMPRAVENTA PROVIENEN DE FUENTES LÍCITAS Y PROPIAS DETALLADAS A CONTINUACIÓN Y QUE NO REALIZARÉ O ADMITIRÉ QUE SE EFECTÚEN PAGOS A NOMBRE MÍO O DE LA PERSONA QUE REPRESENTO CON FONDOS PROVENIENTES DE ACTIVIDADES ILÍCITAS, NI EFECTUARÉ TRANSACCIONES DESTINADAS A TALES ACTIVIDADES O A FAVOR DE PERSONAS RELACIONADAS A LAS MISMAS</t>
  </si>
  <si>
    <t>APELLIDO MATERNO:</t>
  </si>
  <si>
    <t xml:space="preserve">REFERENCIAS </t>
  </si>
  <si>
    <t xml:space="preserve">REFERENCIAS BANCARIAS </t>
  </si>
  <si>
    <t xml:space="preserve">NOMBRE O RAZÓN SOCIAL </t>
  </si>
  <si>
    <t>TELÉFONO</t>
  </si>
  <si>
    <t>REFERENCIAS PERSONALES O COMERCIALES (CLIENTES O PROVEEDORES)</t>
  </si>
  <si>
    <t xml:space="preserve">LÍMITE DE COMPRA: </t>
  </si>
  <si>
    <t xml:space="preserve">FORMA DE PAGO: </t>
  </si>
  <si>
    <t>Forma de pago</t>
  </si>
  <si>
    <t>Contado</t>
  </si>
  <si>
    <t>Financiado</t>
  </si>
  <si>
    <t>Límite de compra</t>
  </si>
  <si>
    <t>5K- 10K US$</t>
  </si>
  <si>
    <t>10K-25K US$</t>
  </si>
  <si>
    <t>25k- 50K US$</t>
  </si>
  <si>
    <t>50K- 100K US$</t>
  </si>
  <si>
    <t>100K - 150K US$</t>
  </si>
  <si>
    <t>150K- 250K US$</t>
  </si>
  <si>
    <t>250K- 1M US$</t>
  </si>
  <si>
    <t>1M - 10M US$</t>
  </si>
  <si>
    <t>&gt; 10M US$</t>
  </si>
  <si>
    <t>Abogado</t>
  </si>
  <si>
    <t>Actuario</t>
  </si>
  <si>
    <t>Agencia de Seguridad</t>
  </si>
  <si>
    <t>Agente Deportivo</t>
  </si>
  <si>
    <t>Agente Inmobiliario</t>
  </si>
  <si>
    <t>Agricultor</t>
  </si>
  <si>
    <t>Almacenamiento</t>
  </si>
  <si>
    <t>Ama de Casa</t>
  </si>
  <si>
    <t>Arte</t>
  </si>
  <si>
    <t>Asalariado</t>
  </si>
  <si>
    <t>Asesor Fiscal / Financiero</t>
  </si>
  <si>
    <t>Asesora de Inversión</t>
  </si>
  <si>
    <t>Banca y Finanzas</t>
  </si>
  <si>
    <t>Cadena de Restaurantes</t>
  </si>
  <si>
    <t>Casa de Cambio</t>
  </si>
  <si>
    <t>Casa de Empeño</t>
  </si>
  <si>
    <t>Casa de Remesas</t>
  </si>
  <si>
    <t>Casa de Valores</t>
  </si>
  <si>
    <t>Casino</t>
  </si>
  <si>
    <t>Coaching</t>
  </si>
  <si>
    <t>Comunicación y Telefonía</t>
  </si>
  <si>
    <t>Concesionario de Autos</t>
  </si>
  <si>
    <t>Construcción</t>
  </si>
  <si>
    <t>Consultor de Riesgo</t>
  </si>
  <si>
    <t>Contador</t>
  </si>
  <si>
    <t>Cooperativas de Ahorro y Crédito</t>
  </si>
  <si>
    <t>Corredor Bienes Raíces</t>
  </si>
  <si>
    <t>Corredor de Bolsa</t>
  </si>
  <si>
    <t>Corredor de Seguros</t>
  </si>
  <si>
    <t>Correos y Telégrafos</t>
  </si>
  <si>
    <t>Cumplimiento Normativo</t>
  </si>
  <si>
    <t>Dependiente</t>
  </si>
  <si>
    <t>Deportista</t>
  </si>
  <si>
    <t>Desempleado</t>
  </si>
  <si>
    <t>Distribuidor de Alimentos</t>
  </si>
  <si>
    <t>Economista</t>
  </si>
  <si>
    <t>Emprendedor</t>
  </si>
  <si>
    <t>Energía e Hidroeléctrica</t>
  </si>
  <si>
    <t>Entretenimiento</t>
  </si>
  <si>
    <t>Estudiante</t>
  </si>
  <si>
    <t>Factoring</t>
  </si>
  <si>
    <t>Funcionario</t>
  </si>
  <si>
    <t>Importador / Exportador</t>
  </si>
  <si>
    <t>Independiente</t>
  </si>
  <si>
    <t>Industria Farmacéutica</t>
  </si>
  <si>
    <t>Industria Médica</t>
  </si>
  <si>
    <t>Industria Petrolera</t>
  </si>
  <si>
    <t>Industria Química</t>
  </si>
  <si>
    <t>Industria Textil</t>
  </si>
  <si>
    <t>Ingeniero Civil</t>
  </si>
  <si>
    <t>Ingeniero Industrial</t>
  </si>
  <si>
    <t>Inversionista</t>
  </si>
  <si>
    <t>Logística</t>
  </si>
  <si>
    <t>Marítimo y Portuario</t>
  </si>
  <si>
    <t>Minería</t>
  </si>
  <si>
    <t>Notario</t>
  </si>
  <si>
    <t>ONG</t>
  </si>
  <si>
    <t>Organizador de Eventos</t>
  </si>
  <si>
    <t>Piloto</t>
  </si>
  <si>
    <t>Policía</t>
  </si>
  <si>
    <t>Promotora</t>
  </si>
  <si>
    <t>Seguros y Reaseguros</t>
  </si>
  <si>
    <t>Servicio al Cliente</t>
  </si>
  <si>
    <t>Tecnología e Informática</t>
  </si>
  <si>
    <t>Trader</t>
  </si>
  <si>
    <t>Transporte de Valores</t>
  </si>
  <si>
    <t>Transportista</t>
  </si>
  <si>
    <t>Turismo y Hotelería</t>
  </si>
  <si>
    <t>Ventas al por Mayor</t>
  </si>
  <si>
    <t>Ventas al por Menor</t>
  </si>
  <si>
    <t>Otro:</t>
  </si>
  <si>
    <t>Ocupaciones</t>
  </si>
  <si>
    <t>Fuentes</t>
  </si>
  <si>
    <t>Salarios</t>
  </si>
  <si>
    <t>Bonificaciones</t>
  </si>
  <si>
    <t>Comisiones</t>
  </si>
  <si>
    <t>Ganancias</t>
  </si>
  <si>
    <t>Herencia</t>
  </si>
  <si>
    <t>Negocio propio</t>
  </si>
  <si>
    <t>Retirado</t>
  </si>
  <si>
    <t>Ingresos por actividad económica</t>
  </si>
  <si>
    <t>Método de pago</t>
  </si>
  <si>
    <t>ACH</t>
  </si>
  <si>
    <t>Depósito bancario</t>
  </si>
  <si>
    <t>Yappy</t>
  </si>
  <si>
    <t>Cheque</t>
  </si>
  <si>
    <t>Tarjeta débito</t>
  </si>
  <si>
    <t>Tarjeta de crédito</t>
  </si>
  <si>
    <t>Actividad principal</t>
  </si>
  <si>
    <t>Jubilado</t>
  </si>
  <si>
    <t>Independiente formal</t>
  </si>
  <si>
    <t>Empresario</t>
  </si>
  <si>
    <t>AVISO DE OPERACIONES (EMPRESARIOS E INDEPENDIENTES):</t>
  </si>
  <si>
    <t>NOMBRE DEL NEGOCIO (EMPRESARIOS E INDEPENDIENTES):</t>
  </si>
  <si>
    <t>Fecha:</t>
  </si>
  <si>
    <t>EN ESTE ÚLTIMO CASO, COMPLETE CON LOS DATOS DEL BENEFICIARIO FINAL DE LA TRANSACCIÓN. DE SER PERSONA JURÍDICA, UTILIZAR EL FORMULARIO DE DEBIDA DILIGENCIA PERSONA JURÍDICA PCR-CUMP-FORM02 Y LA DECLARACIÓN JURADA DE BENEFICIARIOS FINALES DE LAS PERSONAS JURÍDICAS</t>
  </si>
  <si>
    <t>RELACIÓN CON EL CLIENTE:</t>
  </si>
  <si>
    <t>Familiares</t>
  </si>
  <si>
    <t>Padre</t>
  </si>
  <si>
    <t>Hijo</t>
  </si>
  <si>
    <t>Abuelo</t>
  </si>
  <si>
    <t>Nieto</t>
  </si>
  <si>
    <t>Hermano</t>
  </si>
  <si>
    <t>Tío</t>
  </si>
  <si>
    <t>Sobrino</t>
  </si>
  <si>
    <t>Primo</t>
  </si>
  <si>
    <t>Cónyuge</t>
  </si>
  <si>
    <t>PERSONAS EXPUESTAS POLÍTICAMENTE (PEPS)</t>
  </si>
  <si>
    <t>LAS PERSONAS EXPUESTAS POLÍTICAMENTE SON LAS PERSONAS NACIONALES O EXTRANJERAS QUE CUMPLEN FUNCIONES PÚBLICAS DESTACADAS DE ALTO NIVEL O CON MANDO Y JURISDICCIÓN EN UN ESTADO, COMO (PERO SIN LIMITARSE) LOS JEFES DE ESTADO O DE UN GOBIERNO, LOS POLÍTICOS DE ALTO PERFIL, LOS FUNCIONARIOS GUBERNAMENTALES, JUDICIALES O MILITARES DE ALTA JERARQUÍA, LOS EJECUTIVOS DE EMPRESAS O CORPORACIONES ESTATALES LOS FUNCIONARIOS PÚBLICOS QUE OCUPEN POSICIONES DE ELECCIÓN POPULAR, ENTRE OTROS QUE EJERZAN LA TOMA DE DECISIONES EN LAS ENTIDADES PÚBLICAS; PERSONAS QUE CUMPLEN  O A QUIÉNES SE LES HA CONFIADO FUNCIONES IMPORTANTES POR UNA ORGANIZACIÓN INSTITUCIONAL, COMO LOS MIEMBROS DE LA ALTA GERENCIA, ES DECIR DIRECTORES, SUBDIRECTORES Y MIEMBROS DE LA JUNTA DIRECTIVA O FUNCIONES EQUIVALENTES.</t>
  </si>
  <si>
    <t>CARGO ANTERIOR:</t>
  </si>
  <si>
    <t xml:space="preserve">CARGO ACTUAL: </t>
  </si>
  <si>
    <t>¿ES EL CLIENTE, EL BENEFICIARIO FINAL O EL TERCERO AUTORIZADO UN PEP, FAMILIAR CERCANO O ESTRECHO COLABORADOR DE UN PEP?</t>
  </si>
  <si>
    <t>NOMBRE COMPLETO:</t>
  </si>
  <si>
    <t>DECLARACIÓN JURADA</t>
  </si>
  <si>
    <t>DECLARO QUE LA INFORMACIÓN ANTERIOR ES VERAZ Y HA SIDO PROPORCIONADA EN CUMPLIMIENTO DE LO ESTABLECIDO POR LAS LEYES Y REGULACIONES RELACIONADAS CON LA PREVENCIÓN DEL BLANQUEO DE CAPITALES, FINANCIAMIENTO DEL TERRORISMO Y FINANCIAMIENTO DE LA PROLIFERACIÓN DE ARMAS DE DESTRUCCIÓN MASIVA DE LA REPÚBLICA DE PANAMÁ. ACEPTO PROPORCIONAR CUALQUIER INFORMACIÓN Y/O DOCUMENTACIÓN ADICIONAL A LA DESCRITA EN EL PRESENTE FORMULARIO, QUE PANAMA CAR RENTAL, S.A. REQUIERA PARA LA APLICACIÓN DE LAS MEDIDAS DE DEBIDA DILIGENCIA.</t>
  </si>
  <si>
    <t>Presidente de la República</t>
  </si>
  <si>
    <t>Vicepresidente de la República</t>
  </si>
  <si>
    <t>Ministro de Estado</t>
  </si>
  <si>
    <t>Ministro consejero</t>
  </si>
  <si>
    <t>Viceministro</t>
  </si>
  <si>
    <t>Secretario general</t>
  </si>
  <si>
    <t>Subsecretario general</t>
  </si>
  <si>
    <t>Director general</t>
  </si>
  <si>
    <t>Subdirector general</t>
  </si>
  <si>
    <t>Director nacional</t>
  </si>
  <si>
    <t>Subdirector nacional</t>
  </si>
  <si>
    <t>Director regional</t>
  </si>
  <si>
    <t>Subdirector regional</t>
  </si>
  <si>
    <t>Director provincial</t>
  </si>
  <si>
    <t>Subdirector provincial</t>
  </si>
  <si>
    <t>Magistrado del Tribunal de Cuentas</t>
  </si>
  <si>
    <t>Fiscal de Cuentas</t>
  </si>
  <si>
    <t>Gobernador</t>
  </si>
  <si>
    <t>Vicegobernador</t>
  </si>
  <si>
    <t>Alcalde</t>
  </si>
  <si>
    <t>Concejal</t>
  </si>
  <si>
    <t>Diputado</t>
  </si>
  <si>
    <t>Contralor</t>
  </si>
  <si>
    <t>Subcontralor</t>
  </si>
  <si>
    <t>Procurador General de la Nación</t>
  </si>
  <si>
    <t>Procurador General de la Administración</t>
  </si>
  <si>
    <t>Fiscal Superir</t>
  </si>
  <si>
    <t>Magistrado de la Corte Suprema de Justicia</t>
  </si>
  <si>
    <t>Director de la UAF</t>
  </si>
  <si>
    <t>Subdirector de la UAF</t>
  </si>
  <si>
    <t>Superintendente</t>
  </si>
  <si>
    <t>Subintendente</t>
  </si>
  <si>
    <t>Otro</t>
  </si>
  <si>
    <t>PEPS</t>
  </si>
  <si>
    <t xml:space="preserve">COMENTARIOS: </t>
  </si>
  <si>
    <t>FIRMA (IGUAL QUE EN EL DOCUMENTO DE IDENTIDAD):</t>
  </si>
  <si>
    <t xml:space="preserve">AUTOMARKET SEMINUEVOS SE REFIERE A LA MARCA BAJO LA CUAL PANAMA CAR RENTAL, S.A. OFRECE SUS PRODUCTOS Y SERVICIOS. EL NOMBRE “AUTOMARKET SEMINUEVOS” Y SU LOGOTIPO ES UNA MARCA REGISTRADA DE PROPIEDAD DE SEMINUEVOS, S.A. LA SOCIEDAD SEMINUEVOS, S.A. NO TIENE RELACIÓN COMERCIAL Y/O CONTRACTUAL NI PRESTA SERVICIOS A LOS CLIENTES DE PANAMA CAR RENTAL, S.A.  </t>
  </si>
  <si>
    <t>ADJUNTAR LOS SIGUIENTES DOCUMENTOS E INFORMACIÓN DE SOPORTE</t>
  </si>
  <si>
    <t>DOCUMENTO</t>
  </si>
  <si>
    <t>PARA USO INTERNO DE PANAMA CAR RENTAL, S.A.</t>
  </si>
  <si>
    <t>Check list</t>
  </si>
  <si>
    <t>1. COPIA DE CÉDULA O PASAPORTE (PARA EXTRANJEROS)</t>
  </si>
  <si>
    <t>2. RECIBO DE SERVICIO PÚBLICO DENTRO DE LOS ÚLTIMOS 3 MESES O CONTRATO DE ARRENDAMIENTO</t>
  </si>
  <si>
    <t>3. AVISO DE OPERACIONES O LICENCIA COMERCIAL</t>
  </si>
  <si>
    <t>4. EVIDENCIA DE INGRESO (DE ACUERDO CON PERFIL FINANCIERO)</t>
  </si>
  <si>
    <t>NOMBRE Y APELLIDOS DEL VENDEDOR</t>
  </si>
  <si>
    <t>NOMBRE Y APELLIDOS DEL ENCARGADO DE SUCURSAL</t>
  </si>
  <si>
    <t>COMPLETO</t>
  </si>
  <si>
    <t>INCOMPLETO</t>
  </si>
  <si>
    <t>NO APLICA</t>
  </si>
  <si>
    <t>APROBACIÓN:</t>
  </si>
  <si>
    <t>AVISO LEGAL</t>
  </si>
  <si>
    <t>PANAMA CAR RENTAL, S.A. ES SUJETO OBLIGADO NO FINANCIERO DE ACUERDO CON LA LEY 124 DE 7 DE ENERO DE 2020 "QUE CREA LA SUPERINTENDENCIA DE SUJETOS NO FINANCIEROS Y DICTA OTRAS DISPOSICIONES", LA LEY 23 DEL 27 DE ABRIL DE 2015 "QUE ADOPTA MEDIDAS PARA PREVENIR EL BLANQUEO DE CAPITALES, EL FINANCIAMIENTO DEL TERRORISMO Y DEL FINANCIAMIENTO DE LA PROLIFERACIÓN DE ARMAS DE DESTRUCCIÓN MASIVA Y OTRAS DISPOSICIONES", SUS MODIFICACIONES Y DEMÁS REGLAMENTACIONES</t>
  </si>
  <si>
    <t>STATUS</t>
  </si>
  <si>
    <t>TERCEROS AUTORIZADOS</t>
  </si>
  <si>
    <t>¿LOS PAGOS PARCIALES (ABONOS) O TOTALES AL PRECIO DE VENTA SERÁN REALIZADOS POR UNA TERCERA PERSONA DISTINTA DEL CLIENTE O DEL BENEFICIARIO FINAL? (NO ENTIDAD BANCARIA) 
EN CASO AFIRMATIVO, COMPLETE CON LOS DATOS DEL TERCERO AUTORIZADO. DE SER PERSONA JURÍDICA, UTILIZAR EL FORMULARIO DE DEBIDA DILIGENCIA PERSONA JURÍDICA PCR-CUMP-FORM02.</t>
  </si>
  <si>
    <t>EN CASO AFIRMATIVO, COMPLETE CON LOS DATOS DEL TERCERO AUTORIZADO. DE SER PERSONA JURÍDICA, UTILIZAR EL FORMULARIO DE DEBIDA DILIGENCIA PERSONA JURÍDICA PCR-CUMP-FORM02.</t>
  </si>
  <si>
    <t>NOMBRE Y APELLIDOS DEL ANALISTA DE CUMPLIMIENTO</t>
  </si>
  <si>
    <t>APROBACIÓN (SOLO PARA PEPS):</t>
  </si>
  <si>
    <t>NOMBRE Y APELLIDOS DEL GERENTE DE VENTA DE AUTOS (SOLO PARA PEPS)</t>
  </si>
  <si>
    <t>Declaración Jurada de Domicilio (PCR-CUMP-EXCP01)</t>
  </si>
  <si>
    <t>Excepciones</t>
  </si>
  <si>
    <t>Debida diligencia básica</t>
  </si>
  <si>
    <t xml:space="preserve">Copia de la cédula de identidad o pasaporte en el caso de extranjeros </t>
  </si>
  <si>
    <t xml:space="preserve">Copia de recibo de servicio público dentro de los últimos 3 meses a nombre del cliente o contrato de arrendamiento de bien inmueble  </t>
  </si>
  <si>
    <t>Aviso de Operaciones o Licencia Comercial (si es independiente, empresario o emprendedor)</t>
  </si>
  <si>
    <t>Declaración Jurada de Actividades (PCR-CUMP-EXCP02)</t>
  </si>
  <si>
    <t>Evidencia de ingreso (si es la misma persona que paga o abona)</t>
  </si>
  <si>
    <t xml:space="preserve">Asalariado: </t>
  </si>
  <si>
    <t>Carta de trabajo, última ficha de seguro social o último comprobante de pago</t>
  </si>
  <si>
    <t>Jubilado:</t>
  </si>
  <si>
    <t>Último talonario de pago</t>
  </si>
  <si>
    <t>Debida diligencia ampliada</t>
  </si>
  <si>
    <t>Copia de segunda identificación (licencia de conducir, carné de seguro social, etc.)</t>
  </si>
  <si>
    <t>EVIDENCIA DE INGRESOS</t>
  </si>
  <si>
    <t>Debida diligencia simplificada</t>
  </si>
  <si>
    <t>Se exceptúan de aportar documento que sustente evidencia de ingreso</t>
  </si>
  <si>
    <t>CLIENTE PERSONA NATURAL</t>
  </si>
  <si>
    <t>Carta de referencia bancaria</t>
  </si>
  <si>
    <t>Información adicional sobre la procedencia de los fondos</t>
  </si>
  <si>
    <t>EL VENDEDOR:</t>
  </si>
  <si>
    <t>Independiente formal:</t>
  </si>
  <si>
    <t xml:space="preserve">Copia de la Última Declaración Jurada de Rentas </t>
  </si>
  <si>
    <t>Empresario:</t>
  </si>
  <si>
    <t>TIPOS DE DEBIDA DILIGENCIA</t>
  </si>
  <si>
    <t>Persona que no cumple criterios para ser considerado realizar sobre ella una debida diligencia ampliada o simplificada</t>
  </si>
  <si>
    <t>Clientes, terceros autorizados y/o beneficiarios finales considerados de medio y alto riesgo, previa clasificación de riesgo</t>
  </si>
  <si>
    <t xml:space="preserve">Clientes, terceros autorizados y/o beneficiarios finales que se involucren en compras múltiples, es decir, más de un auto por transacción de compraventa o que se dediquen habitual o profesionalmente al negocio de reventa de autos. </t>
  </si>
  <si>
    <t xml:space="preserve">Copia de la última Declaración Jurada de Rentas Persona Natural o Persona Jurídica </t>
  </si>
  <si>
    <t>Carta de referencia de proveedor o cliente</t>
  </si>
  <si>
    <t xml:space="preserve">Clientes, terceros autorizados y/o beneficiarios finales que se identifiquen como personas expuestas políticamente (PEP), sus familiares cercanos o estrechos colaboradores. </t>
  </si>
  <si>
    <t xml:space="preserve">Relaciones de negocio y operaciones con clientes de países, territorios o jurisdicciones de riesgo, o que supongan transferencia de fondos desde o hacia tales países, territorios o jurisdicciones, incluyendo en todo caso, aquellos países para por que el GAFI exige la aplicación de medidas de debida diligencia ampliada o reforzada. </t>
  </si>
  <si>
    <t>Emprendedor:</t>
  </si>
  <si>
    <t>Solo en los casos que el cliente no pueda cumplir con el requisito</t>
  </si>
  <si>
    <t>Declaración Jurada para la aplicación de abonos o cancelaciones para la compra de auto por Familiares (PCR-CUMP-TE01) o Declaración Jurada para la aplicación de abonos o cancelaciones para la compra de auto por Terceros (PCR-CUMP-TE02)</t>
  </si>
  <si>
    <t>Autorización de traspaso a favor de un Tercero persona natural (PCR-CUMP-TR01)</t>
  </si>
  <si>
    <t>BENEFICIARIO FINAL PERSONA NATURAL</t>
  </si>
  <si>
    <r>
      <t xml:space="preserve">Beneficiarios finales y/o terceros autorizados </t>
    </r>
    <r>
      <rPr>
        <sz val="14"/>
        <rFont val="Calibri"/>
        <family val="2"/>
        <scheme val="minor"/>
      </rPr>
      <t>dentro del cuarto grado de consanguinidad (</t>
    </r>
    <r>
      <rPr>
        <b/>
        <sz val="14"/>
        <rFont val="Calibri"/>
        <family val="2"/>
        <scheme val="minor"/>
      </rPr>
      <t>padres, hijos, abuelos, nietos, hermanos, tíos, sobrinos y primos</t>
    </r>
    <r>
      <rPr>
        <sz val="14"/>
        <rFont val="Calibri"/>
        <family val="2"/>
        <scheme val="minor"/>
      </rPr>
      <t>) respecto del cliente o el</t>
    </r>
    <r>
      <rPr>
        <b/>
        <sz val="14"/>
        <rFont val="Calibri"/>
        <family val="2"/>
        <scheme val="minor"/>
      </rPr>
      <t xml:space="preserve"> cónyuge</t>
    </r>
    <r>
      <rPr>
        <sz val="14"/>
        <rFont val="Calibri"/>
        <family val="2"/>
        <scheme val="minor"/>
      </rPr>
      <t xml:space="preserve"> del cliente, que realicen </t>
    </r>
    <r>
      <rPr>
        <b/>
        <sz val="14"/>
        <rFont val="Calibri"/>
        <family val="2"/>
        <scheme val="minor"/>
      </rPr>
      <t xml:space="preserve">pagos parciales (abonos) </t>
    </r>
    <r>
      <rPr>
        <sz val="14"/>
        <rFont val="Calibri"/>
        <family val="2"/>
        <scheme val="minor"/>
      </rPr>
      <t xml:space="preserve">al precio de venta del auto, a través de depósito directo, transferencias bancarias (ACH) provenientes de bancos locales con licencia expedida por la Superintendencia de Bancos de Panamá, tarjeta de crédito, tarjeta de débito, por suma igual o inferior a </t>
    </r>
    <r>
      <rPr>
        <b/>
        <sz val="14"/>
        <rFont val="Calibri"/>
        <family val="2"/>
        <scheme val="minor"/>
      </rPr>
      <t>B/.2,500.00</t>
    </r>
    <r>
      <rPr>
        <sz val="14"/>
        <rFont val="Calibri"/>
        <family val="2"/>
        <scheme val="minor"/>
      </rPr>
      <t>,</t>
    </r>
    <r>
      <rPr>
        <b/>
        <sz val="14"/>
        <rFont val="Calibri"/>
        <family val="2"/>
        <scheme val="minor"/>
      </rPr>
      <t xml:space="preserve"> ya sea en una sola transacción o a través de transacciones sucesivas o múltiples, que en total sumen B/.2,500.00; siempre que se trate de ventas individuale</t>
    </r>
    <r>
      <rPr>
        <sz val="14"/>
        <rFont val="Calibri"/>
        <family val="2"/>
        <scheme val="minor"/>
      </rPr>
      <t xml:space="preserve">s.  </t>
    </r>
  </si>
  <si>
    <t>CÓDIGO: PCR-CUMP-EXCP01</t>
  </si>
  <si>
    <t xml:space="preserve">Panamá, </t>
  </si>
  <si>
    <t>Señores</t>
  </si>
  <si>
    <t xml:space="preserve">Las generales que aparecen en el recibo de </t>
  </si>
  <si>
    <t>Recibos</t>
  </si>
  <si>
    <t>Luz</t>
  </si>
  <si>
    <t>Agua</t>
  </si>
  <si>
    <t>Teléfono</t>
  </si>
  <si>
    <t>Celular</t>
  </si>
  <si>
    <t>Cable</t>
  </si>
  <si>
    <t>Nombre completo:</t>
  </si>
  <si>
    <t>Cédula o pasaporte:</t>
  </si>
  <si>
    <t>Colocar huella dactilar al lado de la firma</t>
  </si>
  <si>
    <t>Estimados señores:</t>
  </si>
  <si>
    <t>Ciudad de Panamá</t>
  </si>
  <si>
    <t>DECLARACIÓN JURADA DE ACTIVIDAD ECONÓMICA</t>
  </si>
  <si>
    <t>CÓDIGO: PCR-CUMP-EXCP02</t>
  </si>
  <si>
    <t>Monto del abono o cancelación:</t>
  </si>
  <si>
    <t xml:space="preserve">DECLARACIÓN JURADA PARA APLICACIÓN DE  </t>
  </si>
  <si>
    <t>ABONOS O CANCELACIONES PARA LA COMPRA</t>
  </si>
  <si>
    <t>DE AUTOS POR FAMILIARES</t>
  </si>
  <si>
    <t>CÓDIGO: PCR-CUMP-TE01</t>
  </si>
  <si>
    <t>DE AUTOS POR TERCEROS</t>
  </si>
  <si>
    <t>CÓDIGO: PCR-CUMP-TE02</t>
  </si>
  <si>
    <t>AUTORIZACIÓN DE TRASPASO VEHICULAR</t>
  </si>
  <si>
    <t>A FAVOR DE TERCEROS PERSONA NATURAL</t>
  </si>
  <si>
    <t>CÓDIGO: PCR-CUMP-TR01</t>
  </si>
  <si>
    <t>A FAVOR DE TERCEROS PERSONA JURÍDICA</t>
  </si>
  <si>
    <t>CÓDIGO: PCR-CUMP-TR02</t>
  </si>
  <si>
    <t>DECLARACIÓN JURADA DE DOMICILIO</t>
  </si>
  <si>
    <t>Préstamo personal</t>
  </si>
  <si>
    <t xml:space="preserve">MÉTODO DE PAGO 1: </t>
  </si>
  <si>
    <t>MÉTODO DE PAGO 2:</t>
  </si>
  <si>
    <t>RELACIÓN CON CLIENTE</t>
  </si>
  <si>
    <t>OTRAS FUENTES:</t>
  </si>
  <si>
    <t>Tipo de cliente</t>
  </si>
  <si>
    <t>Relación con cliente</t>
  </si>
  <si>
    <t>CLIENTE</t>
  </si>
  <si>
    <t>TERCERO</t>
  </si>
  <si>
    <t>ERAZO, PAOLA</t>
  </si>
  <si>
    <t>LUMBI GOMEZ, FELIPE</t>
  </si>
  <si>
    <t>MONEGRO, EDDY ANTONIO</t>
  </si>
  <si>
    <t xml:space="preserve">RUIZ, CHRISTIAN </t>
  </si>
  <si>
    <t>Empleados</t>
  </si>
  <si>
    <t>SAA, KATIBEL JULISSA</t>
  </si>
  <si>
    <t>URDANETA, EMMA</t>
  </si>
  <si>
    <t>CAMPOS, DIOVELIS</t>
  </si>
  <si>
    <t>CUVILLIER, NATALIE</t>
  </si>
  <si>
    <t>DUNCAN, GENESIS</t>
  </si>
  <si>
    <t>GORDILLO, LAURA VALENTINA</t>
  </si>
  <si>
    <t>SING CASTILLO, ANGEL FERNANDO</t>
  </si>
  <si>
    <t>ESCUDERO, YEICOL</t>
  </si>
  <si>
    <t>SANJUR, ISAIAS</t>
  </si>
  <si>
    <t>PIERINI, CLAUDIA BEATRIZ</t>
  </si>
  <si>
    <t>FLAMENCO, HECTOR</t>
  </si>
  <si>
    <t>RODRIGUEZ, IVAN</t>
  </si>
  <si>
    <t>DE LA GUARDIA, RICARDO</t>
  </si>
  <si>
    <t>CARRILLO ORO, OMAR</t>
  </si>
  <si>
    <t>RODRIGUEZ, YAMILETH ESTELA</t>
  </si>
  <si>
    <t>DE LA ESPADA, ORLANDO E.</t>
  </si>
  <si>
    <t>RICO HERNANDEZ, DIANA MICHEL</t>
  </si>
  <si>
    <t>VARGAS, ALLAN</t>
  </si>
  <si>
    <t>EN CASO AFIRMATIVO, PAÍS O PAÍSES CON EL QUE LICITA:</t>
  </si>
  <si>
    <t xml:space="preserve">¿EL AUTO SERÁ TRASPASADO A NOMBRE DEL CLIENTE O DE UN TERCERO? </t>
  </si>
  <si>
    <t>RESPONDA:</t>
  </si>
  <si>
    <r>
      <rPr>
        <b/>
        <sz val="16"/>
        <color theme="1"/>
        <rFont val="Calibri"/>
        <family val="2"/>
        <scheme val="minor"/>
      </rPr>
      <t xml:space="preserve">Nuevo Cliente </t>
    </r>
    <r>
      <rPr>
        <sz val="16"/>
        <color theme="1"/>
        <rFont val="Calibri"/>
        <family val="2"/>
        <scheme val="minor"/>
      </rPr>
      <t xml:space="preserve"> </t>
    </r>
  </si>
  <si>
    <r>
      <rPr>
        <b/>
        <sz val="16"/>
        <color theme="1"/>
        <rFont val="Calibri"/>
        <family val="2"/>
        <scheme val="minor"/>
      </rPr>
      <t xml:space="preserve"> Actualización de Datos  </t>
    </r>
    <r>
      <rPr>
        <sz val="16"/>
        <color theme="1"/>
        <rFont val="Calibri"/>
        <family val="2"/>
        <scheme val="minor"/>
      </rPr>
      <t xml:space="preserve">  </t>
    </r>
  </si>
  <si>
    <t xml:space="preserve">           ACTIVIDAD PRINCIPAL:   </t>
  </si>
  <si>
    <t>SI             NO</t>
  </si>
  <si>
    <t>CLIENTE                      TERCERO</t>
  </si>
  <si>
    <t>FAMILIAR                TERCERO</t>
  </si>
  <si>
    <t>DETALLE RELACIÓN:</t>
  </si>
  <si>
    <t xml:space="preserve">Por este medio yo </t>
  </si>
  <si>
    <t>con cédula/pasaporte número</t>
  </si>
  <si>
    <t>declaro bajo la gravedad del juramento, en conocimiento del contenido del Artículo 385, texto Único del Código Penal,</t>
  </si>
  <si>
    <t xml:space="preserve"> Gaceta Oficial No. 26,510 de 26 de abril de 2010, que tipifica el delito de falso testimonio, que mi residencia actual es</t>
  </si>
  <si>
    <t>, corregimiento de</t>
  </si>
  <si>
    <t>, distrito de</t>
  </si>
  <si>
    <t>provincia de</t>
  </si>
  <si>
    <t>, teléfono</t>
  </si>
  <si>
    <t>Internet</t>
  </si>
  <si>
    <t>Televisión</t>
  </si>
  <si>
    <t xml:space="preserve">aportado como prueba de domicilio corresponden a                  </t>
  </si>
  <si>
    <t xml:space="preserve">, con quien guardo relación de </t>
  </si>
  <si>
    <t>marca:</t>
  </si>
  <si>
    <t>, modelo</t>
  </si>
  <si>
    <t>, del año</t>
  </si>
  <si>
    <t>con placa:</t>
  </si>
  <si>
    <t>, son lícitos y producto de ingresos provenientes de mi actividad económica como</t>
  </si>
  <si>
    <t xml:space="preserve">, negocio que se encuentra ubicado en </t>
  </si>
  <si>
    <t>y llevo a cabo desde el día</t>
  </si>
  <si>
    <t xml:space="preserve">       </t>
  </si>
  <si>
    <t xml:space="preserve">         ACH</t>
  </si>
  <si>
    <t xml:space="preserve">              Yappy</t>
  </si>
  <si>
    <t xml:space="preserve">            ACH</t>
  </si>
  <si>
    <t xml:space="preserve">              Cheque</t>
  </si>
  <si>
    <t xml:space="preserve">       Tarjeta débito</t>
  </si>
  <si>
    <t>, de nacionalidad</t>
  </si>
  <si>
    <t>, con cédula/pasaporte número</t>
  </si>
  <si>
    <t xml:space="preserve">, guarda parentesco con mi persona en grado de </t>
  </si>
  <si>
    <t>y estará realizando un</t>
  </si>
  <si>
    <t>abono o cancelación del precio de venta del auto marca</t>
  </si>
  <si>
    <t>,  del año</t>
  </si>
  <si>
    <t xml:space="preserve"> Gaceta Oficial No. 26,510 de 26 de abril de 2010, que tipifica el delito de falso testimonio, que el(la) señor(a):</t>
  </si>
  <si>
    <t xml:space="preserve">, con placa </t>
  </si>
  <si>
    <t xml:space="preserve">, guarda relación con mi persona en calidad de </t>
  </si>
  <si>
    <t>de nacionalidad</t>
  </si>
  <si>
    <t>, en mi calidad de COMPRADOR del auto marca</t>
  </si>
  <si>
    <t>, con placa</t>
  </si>
  <si>
    <t>AUTORIZO irrevocablemente, el traspaso de la propiedad del referido vehículo a favor del(la) señor(a)</t>
  </si>
  <si>
    <t>quien guarda relación con mi persona en calidad de:</t>
  </si>
  <si>
    <t>AUTORIZO irrevocablemente, el traspaso de la propiedad del referido vehículo a favor de la sociedad/fundación:</t>
  </si>
  <si>
    <t>, debidamente inscrita al Folio</t>
  </si>
  <si>
    <t>, del Registro Público de Panamá.</t>
  </si>
  <si>
    <t>Gaceta Oficial No. 26,510 de 26 de abril de 2010, que tipifica el delito de falso testimonio, que los fondos con los cuales voy a abonar o cancelar el auto</t>
  </si>
  <si>
    <t xml:space="preserve">Copia DE </t>
  </si>
  <si>
    <t>Financiamiento al 100%</t>
  </si>
  <si>
    <t>Carta promesa de pago</t>
  </si>
  <si>
    <t>FORMULARIO CONOCE TU CLIENTE</t>
  </si>
  <si>
    <t>COPIA DE CÉDULA</t>
  </si>
  <si>
    <t>COPIA DE SEGUNDA IDENTIFICACIÓN</t>
  </si>
  <si>
    <t>ESTADOS FINANCIEROS</t>
  </si>
  <si>
    <t>RECIBO DE SERVICIO PÚBLICO (DENTRO DE LOS ÚLTIMOS 3 MESES) O CONTRATO DE ARRENDAMIENTO</t>
  </si>
  <si>
    <t>COPIA DE AVISO DE OPERACIONES</t>
  </si>
  <si>
    <t>COPIA DE CARTA DE TRABAJO, FICHA O TALONARIO</t>
  </si>
  <si>
    <t>Entre  los  siguientes  suscritos a saber:</t>
  </si>
  <si>
    <r>
      <rPr>
        <b/>
        <u/>
        <sz val="12"/>
        <color theme="1"/>
        <rFont val="Calibri"/>
        <family val="2"/>
        <scheme val="minor"/>
      </rPr>
      <t>PRIMERA:</t>
    </r>
    <r>
      <rPr>
        <b/>
        <sz val="12"/>
        <color theme="1"/>
        <rFont val="Calibri"/>
        <family val="2"/>
        <scheme val="minor"/>
      </rPr>
      <t xml:space="preserve"> EL VENDEDOR </t>
    </r>
    <r>
      <rPr>
        <sz val="12"/>
        <color theme="1"/>
        <rFont val="Calibri"/>
        <family val="2"/>
        <scheme val="minor"/>
      </rPr>
      <t xml:space="preserve">vende a </t>
    </r>
    <r>
      <rPr>
        <b/>
        <sz val="12"/>
        <color theme="1"/>
        <rFont val="Calibri"/>
        <family val="2"/>
        <scheme val="minor"/>
      </rPr>
      <t>EL COMPRADOR</t>
    </r>
    <r>
      <rPr>
        <sz val="12"/>
        <color theme="1"/>
        <rFont val="Calibri"/>
        <family val="2"/>
        <scheme val="minor"/>
      </rPr>
      <t xml:space="preserve"> el vehículo cuyas especificaciones se detallan a continuación:</t>
    </r>
  </si>
  <si>
    <r>
      <t>MARCA:</t>
    </r>
    <r>
      <rPr>
        <u/>
        <sz val="12"/>
        <color indexed="8"/>
        <rFont val="Calibri"/>
        <family val="2"/>
        <scheme val="minor"/>
      </rPr>
      <t xml:space="preserve">        </t>
    </r>
  </si>
  <si>
    <r>
      <t xml:space="preserve">MODELO: </t>
    </r>
    <r>
      <rPr>
        <u/>
        <sz val="12"/>
        <color indexed="8"/>
        <rFont val="Calibri"/>
        <family val="2"/>
        <scheme val="minor"/>
      </rPr>
      <t xml:space="preserve">  </t>
    </r>
  </si>
  <si>
    <r>
      <rPr>
        <b/>
        <u/>
        <sz val="12"/>
        <color theme="1"/>
        <rFont val="Calibri"/>
        <family val="2"/>
        <scheme val="minor"/>
      </rPr>
      <t>SEGUNDA:</t>
    </r>
    <r>
      <rPr>
        <b/>
        <sz val="12"/>
        <color theme="1"/>
        <rFont val="Calibri"/>
        <family val="2"/>
        <scheme val="minor"/>
      </rPr>
      <t xml:space="preserve">  EL  COMPRADOR </t>
    </r>
    <r>
      <rPr>
        <sz val="12"/>
        <color theme="1"/>
        <rFont val="Calibri"/>
        <family val="2"/>
        <scheme val="minor"/>
      </rPr>
      <t xml:space="preserve"> entiende  que la empresa </t>
    </r>
    <r>
      <rPr>
        <b/>
        <sz val="12"/>
        <color theme="1"/>
        <rFont val="Calibri"/>
        <family val="2"/>
        <scheme val="minor"/>
      </rPr>
      <t>PANAMÁ CAR RENTAL, S.A.</t>
    </r>
    <r>
      <rPr>
        <sz val="12"/>
        <color theme="1"/>
        <rFont val="Calibri"/>
        <family val="2"/>
        <scheme val="minor"/>
      </rPr>
      <t xml:space="preserve"> esta vendiendo el vehículo bajo la condición: </t>
    </r>
  </si>
  <si>
    <r>
      <rPr>
        <b/>
        <sz val="12"/>
        <color theme="1"/>
        <rFont val="Calibri"/>
        <family val="2"/>
        <scheme val="minor"/>
      </rPr>
      <t>Como</t>
    </r>
    <r>
      <rPr>
        <sz val="12"/>
        <color theme="1"/>
        <rFont val="Calibri"/>
        <family val="2"/>
        <scheme val="minor"/>
      </rPr>
      <t xml:space="preserve"> </t>
    </r>
    <r>
      <rPr>
        <b/>
        <sz val="12"/>
        <color theme="1"/>
        <rFont val="Calibri"/>
        <family val="2"/>
        <scheme val="minor"/>
      </rPr>
      <t>Está y Donde Está</t>
    </r>
    <r>
      <rPr>
        <sz val="12"/>
        <color theme="1"/>
        <rFont val="Calibri"/>
        <family val="2"/>
        <scheme val="minor"/>
      </rPr>
      <t>.</t>
    </r>
  </si>
  <si>
    <r>
      <rPr>
        <b/>
        <u/>
        <sz val="12"/>
        <color theme="1"/>
        <rFont val="Calibri"/>
        <family val="2"/>
        <scheme val="minor"/>
      </rPr>
      <t>TERCERA:</t>
    </r>
    <r>
      <rPr>
        <b/>
        <sz val="12"/>
        <color theme="1"/>
        <rFont val="Calibri"/>
        <family val="2"/>
        <scheme val="minor"/>
      </rPr>
      <t xml:space="preserve"> </t>
    </r>
    <r>
      <rPr>
        <sz val="12"/>
        <color theme="1"/>
        <rFont val="Calibri"/>
        <family val="2"/>
        <scheme val="minor"/>
      </rPr>
      <t xml:space="preserve">Por ser un vehículo vendido </t>
    </r>
    <r>
      <rPr>
        <b/>
        <sz val="12"/>
        <color theme="1"/>
        <rFont val="Calibri"/>
        <family val="2"/>
        <scheme val="minor"/>
      </rPr>
      <t>Como Está y Donde Está</t>
    </r>
    <r>
      <rPr>
        <sz val="12"/>
        <color theme="1"/>
        <rFont val="Calibri"/>
        <family val="2"/>
        <scheme val="minor"/>
      </rPr>
      <t xml:space="preserve">, el </t>
    </r>
    <r>
      <rPr>
        <b/>
        <sz val="12"/>
        <color theme="1"/>
        <rFont val="Calibri"/>
        <family val="2"/>
        <scheme val="minor"/>
      </rPr>
      <t>COMPRADOR</t>
    </r>
    <r>
      <rPr>
        <sz val="12"/>
        <color theme="1"/>
        <rFont val="Calibri"/>
        <family val="2"/>
        <scheme val="minor"/>
      </rPr>
      <t xml:space="preserve"> entiende y acepta que este no goza de ningún tipo de </t>
    </r>
  </si>
  <si>
    <r>
      <t xml:space="preserve">garantía brindada por la empresa </t>
    </r>
    <r>
      <rPr>
        <b/>
        <sz val="12"/>
        <color theme="1"/>
        <rFont val="Calibri"/>
        <family val="2"/>
        <scheme val="minor"/>
      </rPr>
      <t>PANAMA CAR RENTAL, S.A.</t>
    </r>
  </si>
  <si>
    <r>
      <rPr>
        <b/>
        <u/>
        <sz val="12"/>
        <color theme="1"/>
        <rFont val="Calibri"/>
        <family val="2"/>
        <scheme val="minor"/>
      </rPr>
      <t xml:space="preserve">CUARTA: </t>
    </r>
    <r>
      <rPr>
        <sz val="12"/>
        <color theme="1"/>
        <rFont val="Calibri"/>
        <family val="2"/>
        <scheme val="minor"/>
      </rPr>
      <t xml:space="preserve">El precio acordado entre ambas partes es de </t>
    </r>
  </si>
  <si>
    <t>En señal de aceptación firman el presente contrato en dos (2) ejemplares del mismo tenor y efecto en la República de Panamá el día</t>
  </si>
  <si>
    <t>del mes de</t>
  </si>
  <si>
    <t>de dos mil</t>
  </si>
  <si>
    <t>EL COMPRADOR:</t>
  </si>
  <si>
    <t>RICARDO DE LA GUARDIA</t>
  </si>
  <si>
    <t>Firmas:</t>
  </si>
  <si>
    <t>actuando en nombre propio y representación, y por la otra</t>
  </si>
  <si>
    <r>
      <t xml:space="preserve">PANAMA CAR RENTAL, S.A. </t>
    </r>
    <r>
      <rPr>
        <sz val="12"/>
        <color theme="1"/>
        <rFont val="Calibri"/>
        <family val="2"/>
        <scheme val="minor"/>
      </rPr>
      <t>en adelante EL VENDEDOR, con RUC 419758-1-427175 y DV 97,  representada en este acto por el(la) sr(a)</t>
    </r>
    <r>
      <rPr>
        <b/>
        <sz val="12"/>
        <color theme="1"/>
        <rFont val="Calibri"/>
        <family val="2"/>
        <scheme val="minor"/>
      </rPr>
      <t xml:space="preserve"> </t>
    </r>
  </si>
  <si>
    <r>
      <t xml:space="preserve"> </t>
    </r>
    <r>
      <rPr>
        <b/>
        <sz val="12"/>
        <color theme="1"/>
        <rFont val="Calibri"/>
        <family val="2"/>
        <scheme val="minor"/>
      </rPr>
      <t>RICARDO DE LA GUARDIA</t>
    </r>
    <r>
      <rPr>
        <sz val="12"/>
        <color theme="1"/>
        <rFont val="Calibri"/>
        <family val="2"/>
        <scheme val="minor"/>
      </rPr>
      <t xml:space="preserve">, varón, mayor de edad, panameño, con cédula de identidad  personal No. 8-738-1347,  acuerdan celebrar </t>
    </r>
  </si>
  <si>
    <t>un contrato de compraventa de vehículo sujeto a las cláusulas siguientes:</t>
  </si>
  <si>
    <r>
      <t xml:space="preserve">en adelante </t>
    </r>
    <r>
      <rPr>
        <b/>
        <sz val="12"/>
        <color theme="1"/>
        <rFont val="Calibri"/>
        <family val="2"/>
        <scheme val="minor"/>
      </rPr>
      <t>EL COMPRADOR</t>
    </r>
    <r>
      <rPr>
        <sz val="12"/>
        <color theme="1"/>
        <rFont val="Calibri"/>
        <family val="2"/>
        <scheme val="minor"/>
      </rPr>
      <t>, con documento</t>
    </r>
  </si>
  <si>
    <t>de identidad personal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</si>
</sst>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B/.&quot;\ * #,##0.00_);_(&quot;B/.&quot;\ * \(#,##0.00\);_(&quot;B/.&quot;\ * &quot;-&quot;??_);_(@_)"/>
    <numFmt numFmtId="165" formatCode="dd/mm/yyyy;@"/>
    <numFmt numFmtId="166" formatCode="ddmmyyyy"/>
    <numFmt numFmtId="167" formatCode="_(&quot;B/.&quot;\ * #,##0.00_);_(&quot;B/.&quot;\ * \(#,##0.00\);_(&quot;B/.&quot;\ * &quot;&quot;??_);_(@_)"/>
    <numFmt numFmtId="168" formatCode="[$-80A]d&quot; de &quot;mmmm&quot; de &quot;yyyy;@"/>
    <numFmt numFmtId="169" formatCode="#,##0_ ;\-#,##0\ "/>
    <numFmt numFmtId="170" formatCode="0.0"/>
    <numFmt numFmtId="171" formatCode="&quot;B/.&quot;#,##0.00"/>
  </numFmts>
  <fonts count="51">
    <font>
      <sz val="11"/>
      <color theme="1"/>
      <name val="Calibri"/>
      <family val="2"/>
      <scheme val="minor"/>
    </font>
    <font>
      <sz val="11"/>
      <color indexed="8"/>
      <name val="Calibri"/>
      <family val="2"/>
    </font>
    <font>
      <b/>
      <sz val="11"/>
      <color indexed="8"/>
      <name val="Calibri"/>
      <family val="2"/>
    </font>
    <font>
      <sz val="11"/>
      <color indexed="8"/>
      <name val="Arial"/>
      <family val="2"/>
    </font>
    <font>
      <b/>
      <sz val="11"/>
      <color indexed="8"/>
      <name val="Arial"/>
      <family val="2"/>
    </font>
    <font>
      <u/>
      <sz val="11"/>
      <color indexed="8"/>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b/>
      <sz val="10"/>
      <color theme="1"/>
      <name val="Calibri"/>
      <family val="2"/>
      <scheme val="minor"/>
    </font>
    <font>
      <b/>
      <u/>
      <sz val="12"/>
      <color theme="1"/>
      <name val="Calibri"/>
      <family val="2"/>
      <scheme val="minor"/>
    </font>
    <font>
      <b/>
      <sz val="9"/>
      <color theme="1"/>
      <name val="Calibri"/>
      <family val="2"/>
      <scheme val="minor"/>
    </font>
    <font>
      <b/>
      <sz val="16"/>
      <color theme="1"/>
      <name val="Calibri"/>
      <family val="2"/>
      <scheme val="minor"/>
    </font>
    <font>
      <sz val="11"/>
      <color theme="1"/>
      <name val="Arial"/>
      <family val="2"/>
    </font>
    <font>
      <sz val="10"/>
      <color theme="1"/>
      <name val="Arial"/>
      <family val="2"/>
    </font>
    <font>
      <b/>
      <sz val="12"/>
      <color theme="1"/>
      <name val="Arial"/>
      <family val="2"/>
    </font>
    <font>
      <b/>
      <sz val="11"/>
      <color theme="1"/>
      <name val="Arial"/>
      <family val="2"/>
    </font>
    <font>
      <sz val="8"/>
      <color theme="1"/>
      <name val="Arial"/>
      <family val="2"/>
    </font>
    <font>
      <b/>
      <sz val="11"/>
      <name val="Calibri"/>
      <family val="2"/>
      <scheme val="minor"/>
    </font>
    <font>
      <sz val="18"/>
      <color theme="1"/>
      <name val="Calibri"/>
      <family val="2"/>
      <scheme val="minor"/>
    </font>
    <font>
      <sz val="16"/>
      <color theme="1"/>
      <name val="Calibri"/>
      <family val="2"/>
      <scheme val="minor"/>
    </font>
    <font>
      <b/>
      <sz val="16"/>
      <name val="Calibri"/>
      <family val="2"/>
      <scheme val="minor"/>
    </font>
    <font>
      <sz val="16"/>
      <name val="Calibri"/>
      <family val="2"/>
      <scheme val="minor"/>
    </font>
    <font>
      <b/>
      <sz val="11"/>
      <color rgb="FF000000"/>
      <name val="Calibri"/>
      <family val="2"/>
    </font>
    <font>
      <b/>
      <sz val="8"/>
      <color rgb="FF000000"/>
      <name val="Calibri"/>
      <family val="2"/>
    </font>
    <font>
      <sz val="16"/>
      <name val="Futura LT"/>
    </font>
    <font>
      <sz val="12"/>
      <name val="Futura LT"/>
    </font>
    <font>
      <b/>
      <sz val="11"/>
      <color theme="0"/>
      <name val="Calibri"/>
      <family val="2"/>
      <scheme val="minor"/>
    </font>
    <font>
      <b/>
      <sz val="14"/>
      <color theme="1"/>
      <name val="Arial"/>
      <family val="2"/>
    </font>
    <font>
      <b/>
      <sz val="10"/>
      <color rgb="FF000000"/>
      <name val="Calibri"/>
      <family val="2"/>
    </font>
    <font>
      <b/>
      <sz val="12"/>
      <color theme="0"/>
      <name val="Calibri"/>
      <family val="2"/>
      <scheme val="minor"/>
    </font>
    <font>
      <u/>
      <sz val="11"/>
      <color theme="10"/>
      <name val="Calibri"/>
      <family val="2"/>
      <scheme val="minor"/>
    </font>
    <font>
      <b/>
      <sz val="16"/>
      <color theme="0"/>
      <name val="Calibri"/>
      <family val="2"/>
      <scheme val="minor"/>
    </font>
    <font>
      <b/>
      <sz val="20"/>
      <color theme="1"/>
      <name val="Calibri"/>
      <family val="2"/>
      <scheme val="minor"/>
    </font>
    <font>
      <sz val="11"/>
      <color rgb="FF000000"/>
      <name val="Calibri"/>
      <family val="2"/>
    </font>
    <font>
      <sz val="11"/>
      <name val="Calibri"/>
      <family val="2"/>
    </font>
    <font>
      <b/>
      <sz val="14"/>
      <color theme="0"/>
      <name val="Calibri"/>
      <family val="2"/>
      <scheme val="minor"/>
    </font>
    <font>
      <sz val="14"/>
      <name val="Calibri"/>
      <family val="2"/>
      <scheme val="minor"/>
    </font>
    <font>
      <sz val="9"/>
      <color theme="1"/>
      <name val="Calibri"/>
      <family val="2"/>
      <scheme val="minor"/>
    </font>
    <font>
      <b/>
      <sz val="14"/>
      <name val="Calibri"/>
      <family val="2"/>
      <scheme val="minor"/>
    </font>
    <font>
      <b/>
      <sz val="10"/>
      <color theme="0"/>
      <name val="Calibri"/>
      <family val="2"/>
      <scheme val="minor"/>
    </font>
    <font>
      <u/>
      <sz val="16"/>
      <color theme="1"/>
      <name val="Calibri"/>
      <family val="2"/>
      <scheme val="minor"/>
    </font>
    <font>
      <sz val="12"/>
      <color theme="1"/>
      <name val="Calibri"/>
      <family val="2"/>
      <scheme val="minor"/>
    </font>
    <font>
      <b/>
      <sz val="12"/>
      <color theme="1"/>
      <name val="Calibri"/>
      <family val="2"/>
      <scheme val="minor"/>
    </font>
    <font>
      <u/>
      <sz val="12"/>
      <color indexed="8"/>
      <name val="Calibri"/>
      <family val="2"/>
      <scheme val="minor"/>
    </font>
    <font>
      <u/>
      <sz val="12"/>
      <color theme="1"/>
      <name val="Calibri"/>
      <family val="2"/>
      <scheme val="minor"/>
    </font>
    <font>
      <sz val="12"/>
      <color theme="1"/>
      <name val="Arial"/>
      <family val="2"/>
    </font>
    <font>
      <sz val="10"/>
      <color theme="1"/>
      <name val="Calibri"/>
      <family val="2"/>
      <scheme val="minor"/>
    </font>
  </fonts>
  <fills count="23">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rgb="FFFF0000"/>
        <bgColor indexed="64"/>
      </patternFill>
    </fill>
    <fill>
      <patternFill patternType="solid">
        <fgColor theme="0" tint="-4.9989318521683403E-2"/>
        <bgColor indexed="64"/>
      </patternFill>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5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3" tint="-0.249977111117893"/>
        <bgColor indexed="64"/>
      </patternFill>
    </fill>
    <fill>
      <patternFill patternType="solid">
        <fgColor rgb="FFC00000"/>
        <bgColor indexed="64"/>
      </patternFill>
    </fill>
    <fill>
      <patternFill patternType="solid">
        <fgColor rgb="FF339933"/>
        <bgColor indexed="64"/>
      </patternFill>
    </fill>
    <fill>
      <patternFill patternType="solid">
        <fgColor rgb="FFFFC000"/>
        <bgColor indexed="64"/>
      </patternFill>
    </fill>
    <fill>
      <patternFill patternType="solid">
        <fgColor theme="3"/>
        <bgColor indexed="64"/>
      </patternFill>
    </fill>
  </fills>
  <borders count="110">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style="thin">
        <color rgb="FF000000"/>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rgb="FF000000"/>
      </top>
      <bottom/>
      <diagonal/>
    </border>
    <border>
      <left style="thin">
        <color indexed="64"/>
      </left>
      <right/>
      <top/>
      <bottom style="thin">
        <color rgb="FF000000"/>
      </bottom>
      <diagonal/>
    </border>
    <border>
      <left/>
      <right style="thin">
        <color indexed="64"/>
      </right>
      <top/>
      <bottom style="thin">
        <color rgb="FF000000"/>
      </bottom>
      <diagonal/>
    </border>
    <border>
      <left/>
      <right/>
      <top style="thin">
        <color rgb="FF000000"/>
      </top>
      <bottom style="thin">
        <color indexed="64"/>
      </bottom>
      <diagonal/>
    </border>
    <border>
      <left/>
      <right style="thin">
        <color rgb="FF000000"/>
      </right>
      <top style="thin">
        <color indexed="64"/>
      </top>
      <bottom/>
      <diagonal/>
    </border>
    <border>
      <left style="thin">
        <color rgb="FF000000"/>
      </left>
      <right style="thin">
        <color rgb="FF000000"/>
      </right>
      <top style="thin">
        <color rgb="FF000000"/>
      </top>
      <bottom style="thin">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bottom style="thin">
        <color theme="1" tint="0.499984740745262"/>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theme="1" tint="0.499984740745262"/>
      </left>
      <right style="thin">
        <color indexed="64"/>
      </right>
      <top style="thin">
        <color theme="1" tint="0.499984740745262"/>
      </top>
      <bottom style="thin">
        <color theme="1" tint="0.499984740745262"/>
      </bottom>
      <diagonal/>
    </border>
    <border>
      <left/>
      <right style="thin">
        <color theme="1" tint="0.499984740745262"/>
      </right>
      <top style="thin">
        <color indexed="64"/>
      </top>
      <bottom style="thin">
        <color indexed="64"/>
      </bottom>
      <diagonal/>
    </border>
  </borders>
  <cellStyleXfs count="6">
    <xf numFmtId="0" fontId="0" fillId="0" borderId="0"/>
    <xf numFmtId="16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34" fillId="0" borderId="0" applyNumberFormat="0" applyFill="0" applyBorder="0" applyAlignment="0" applyProtection="0"/>
    <xf numFmtId="49" fontId="6" fillId="0" borderId="0"/>
  </cellStyleXfs>
  <cellXfs count="781">
    <xf numFmtId="0" fontId="0" fillId="0" borderId="0" xfId="0"/>
    <xf numFmtId="0" fontId="10" fillId="0" borderId="0" xfId="0" applyFont="1"/>
    <xf numFmtId="0" fontId="9" fillId="0" borderId="0" xfId="0" applyFont="1"/>
    <xf numFmtId="0" fontId="9" fillId="2" borderId="0" xfId="0" applyFont="1" applyFill="1"/>
    <xf numFmtId="0" fontId="11" fillId="2" borderId="2" xfId="0" applyFont="1" applyFill="1" applyBorder="1"/>
    <xf numFmtId="0" fontId="9" fillId="0" borderId="3" xfId="0" applyFont="1" applyBorder="1"/>
    <xf numFmtId="0" fontId="8" fillId="0" borderId="0" xfId="0" applyFont="1"/>
    <xf numFmtId="0" fontId="12" fillId="0" borderId="0" xfId="0" applyFont="1" applyAlignment="1">
      <alignment vertical="center"/>
    </xf>
    <xf numFmtId="0" fontId="0" fillId="0" borderId="0" xfId="0" applyAlignment="1">
      <alignment horizontal="left"/>
    </xf>
    <xf numFmtId="0" fontId="13" fillId="0" borderId="0" xfId="0" applyFont="1" applyAlignment="1">
      <alignment vertical="center"/>
    </xf>
    <xf numFmtId="0" fontId="14" fillId="0" borderId="0" xfId="0" applyFont="1" applyAlignment="1">
      <alignment horizontal="justify" vertical="center"/>
    </xf>
    <xf numFmtId="0" fontId="10" fillId="0" borderId="10" xfId="0" applyFont="1" applyBorder="1"/>
    <xf numFmtId="0" fontId="10" fillId="0" borderId="11" xfId="0" applyFont="1" applyBorder="1"/>
    <xf numFmtId="0" fontId="10" fillId="0" borderId="6" xfId="0" applyFont="1" applyBorder="1"/>
    <xf numFmtId="0" fontId="10" fillId="0" borderId="3" xfId="0" applyFont="1" applyBorder="1"/>
    <xf numFmtId="0" fontId="10" fillId="0" borderId="7" xfId="0" applyFont="1" applyBorder="1"/>
    <xf numFmtId="0" fontId="9" fillId="0" borderId="12" xfId="0" applyFont="1" applyBorder="1"/>
    <xf numFmtId="0" fontId="10" fillId="0" borderId="13" xfId="0" applyFont="1" applyBorder="1"/>
    <xf numFmtId="0" fontId="9" fillId="2" borderId="0" xfId="0" applyFont="1" applyFill="1" applyAlignment="1">
      <alignment horizontal="left"/>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8" fillId="0" borderId="14" xfId="0" applyFont="1" applyBorder="1"/>
    <xf numFmtId="0" fontId="0" fillId="0" borderId="14" xfId="0" applyBorder="1"/>
    <xf numFmtId="0" fontId="0" fillId="0" borderId="15" xfId="0" applyBorder="1"/>
    <xf numFmtId="0" fontId="0" fillId="0" borderId="10" xfId="0" applyBorder="1"/>
    <xf numFmtId="0" fontId="0" fillId="0" borderId="2" xfId="0" applyBorder="1"/>
    <xf numFmtId="0" fontId="0" fillId="0" borderId="11" xfId="0" applyBorder="1"/>
    <xf numFmtId="0" fontId="0" fillId="0" borderId="6" xfId="0" applyBorder="1"/>
    <xf numFmtId="0" fontId="0" fillId="0" borderId="3" xfId="0" applyBorder="1"/>
    <xf numFmtId="0" fontId="0" fillId="0" borderId="7" xfId="0" applyBorder="1"/>
    <xf numFmtId="0" fontId="0" fillId="0" borderId="12" xfId="0" applyBorder="1"/>
    <xf numFmtId="0" fontId="0" fillId="0" borderId="13" xfId="0" applyBorder="1"/>
    <xf numFmtId="164" fontId="6" fillId="0" borderId="14" xfId="1" applyBorder="1"/>
    <xf numFmtId="164" fontId="6" fillId="0" borderId="17" xfId="1" applyBorder="1"/>
    <xf numFmtId="164" fontId="6" fillId="0" borderId="18" xfId="1" applyBorder="1"/>
    <xf numFmtId="0" fontId="7" fillId="0" borderId="15" xfId="0" applyFont="1" applyBorder="1" applyAlignment="1">
      <alignment horizontal="left"/>
    </xf>
    <xf numFmtId="0" fontId="0" fillId="0" borderId="0" xfId="0" applyAlignment="1">
      <alignment vertical="top"/>
    </xf>
    <xf numFmtId="0" fontId="14" fillId="0" borderId="0" xfId="0" applyFont="1"/>
    <xf numFmtId="14" fontId="16" fillId="0" borderId="0" xfId="0" applyNumberFormat="1" applyFont="1" applyAlignment="1">
      <alignment horizontal="left" vertical="center"/>
    </xf>
    <xf numFmtId="0" fontId="11" fillId="0" borderId="0" xfId="0" applyFont="1"/>
    <xf numFmtId="0" fontId="0" fillId="0" borderId="0" xfId="0" applyAlignment="1">
      <alignment vertical="center"/>
    </xf>
    <xf numFmtId="0" fontId="23" fillId="2" borderId="5" xfId="0" applyFont="1" applyFill="1" applyBorder="1" applyAlignment="1">
      <alignment horizontal="left" vertical="center"/>
    </xf>
    <xf numFmtId="0" fontId="23" fillId="2" borderId="8" xfId="0" applyFont="1" applyFill="1" applyBorder="1" applyAlignment="1">
      <alignment horizontal="left" vertical="center"/>
    </xf>
    <xf numFmtId="0" fontId="15" fillId="2" borderId="0" xfId="0" applyFont="1" applyFill="1"/>
    <xf numFmtId="0" fontId="15" fillId="2" borderId="0" xfId="0" applyFont="1" applyFill="1" applyAlignment="1">
      <alignment horizontal="right"/>
    </xf>
    <xf numFmtId="0" fontId="15" fillId="2" borderId="0" xfId="0" applyFont="1" applyFill="1" applyAlignment="1">
      <alignment horizontal="left" wrapText="1"/>
    </xf>
    <xf numFmtId="0" fontId="15" fillId="2" borderId="0" xfId="0" applyFont="1" applyFill="1" applyAlignment="1">
      <alignment horizontal="left" vertical="center" wrapText="1"/>
    </xf>
    <xf numFmtId="0" fontId="15" fillId="2" borderId="0" xfId="0" applyFont="1" applyFill="1" applyAlignment="1">
      <alignment wrapText="1"/>
    </xf>
    <xf numFmtId="0" fontId="24" fillId="2" borderId="0" xfId="0" applyFont="1" applyFill="1"/>
    <xf numFmtId="0" fontId="23" fillId="2" borderId="0" xfId="0" applyFont="1" applyFill="1" applyAlignment="1">
      <alignment horizontal="left"/>
    </xf>
    <xf numFmtId="0" fontId="25" fillId="0" borderId="0" xfId="0" applyFont="1" applyAlignment="1">
      <alignment horizontal="left"/>
    </xf>
    <xf numFmtId="0" fontId="23" fillId="0" borderId="0" xfId="0" applyFont="1"/>
    <xf numFmtId="0" fontId="23" fillId="2" borderId="5" xfId="0" applyFont="1" applyFill="1" applyBorder="1" applyAlignment="1">
      <alignment vertical="center"/>
    </xf>
    <xf numFmtId="0" fontId="23" fillId="2" borderId="8" xfId="0" applyFont="1" applyFill="1" applyBorder="1" applyAlignment="1">
      <alignment vertical="center"/>
    </xf>
    <xf numFmtId="0" fontId="15" fillId="2" borderId="12" xfId="0" applyFont="1" applyFill="1" applyBorder="1" applyAlignment="1">
      <alignment horizontal="left" vertical="center" wrapText="1"/>
    </xf>
    <xf numFmtId="0" fontId="15" fillId="2" borderId="12" xfId="0" applyFont="1" applyFill="1" applyBorder="1"/>
    <xf numFmtId="0" fontId="8" fillId="0" borderId="15" xfId="0" applyFont="1" applyBorder="1"/>
    <xf numFmtId="0" fontId="8" fillId="0" borderId="15" xfId="0" applyFont="1" applyBorder="1" applyAlignment="1">
      <alignment horizontal="right"/>
    </xf>
    <xf numFmtId="0" fontId="0" fillId="0" borderId="15" xfId="0" applyBorder="1" applyAlignment="1">
      <alignment horizontal="left" vertical="top"/>
    </xf>
    <xf numFmtId="0" fontId="0" fillId="0" borderId="21" xfId="0" applyBorder="1" applyAlignment="1">
      <alignment horizontal="left" vertical="top"/>
    </xf>
    <xf numFmtId="0" fontId="26" fillId="0" borderId="48" xfId="0" applyFont="1" applyBorder="1" applyAlignment="1">
      <alignment horizontal="left" vertical="top"/>
    </xf>
    <xf numFmtId="0" fontId="26" fillId="0" borderId="45" xfId="0" applyFont="1" applyBorder="1" applyAlignment="1">
      <alignment horizontal="left" vertical="top"/>
    </xf>
    <xf numFmtId="0" fontId="8" fillId="0" borderId="0" xfId="0" applyFont="1" applyAlignment="1">
      <alignment horizontal="center"/>
    </xf>
    <xf numFmtId="0" fontId="23" fillId="0" borderId="5" xfId="0" applyFont="1" applyBorder="1" applyAlignment="1">
      <alignment horizontal="left" vertical="center"/>
    </xf>
    <xf numFmtId="0" fontId="0" fillId="0" borderId="15" xfId="0" applyBorder="1" applyAlignment="1">
      <alignment vertical="top"/>
    </xf>
    <xf numFmtId="0" fontId="0" fillId="0" borderId="21" xfId="0" applyBorder="1" applyAlignment="1">
      <alignment vertical="top"/>
    </xf>
    <xf numFmtId="0" fontId="8" fillId="0" borderId="0" xfId="0" applyFont="1" applyAlignment="1">
      <alignment horizontal="left"/>
    </xf>
    <xf numFmtId="0" fontId="0" fillId="0" borderId="0" xfId="0" applyAlignment="1">
      <alignment horizontal="left" vertical="top"/>
    </xf>
    <xf numFmtId="0" fontId="26" fillId="0" borderId="37" xfId="0" applyFont="1" applyBorder="1" applyAlignment="1">
      <alignment horizontal="center" vertical="center"/>
    </xf>
    <xf numFmtId="0" fontId="26" fillId="0" borderId="49" xfId="0" applyFont="1" applyBorder="1" applyAlignment="1">
      <alignment horizontal="center" vertical="center"/>
    </xf>
    <xf numFmtId="14" fontId="23" fillId="2" borderId="0" xfId="0" applyNumberFormat="1" applyFont="1" applyFill="1" applyAlignment="1">
      <alignment horizontal="left"/>
    </xf>
    <xf numFmtId="0" fontId="8" fillId="0" borderId="25" xfId="0" applyFont="1" applyBorder="1" applyAlignment="1">
      <alignment vertical="center"/>
    </xf>
    <xf numFmtId="0" fontId="8" fillId="0" borderId="28" xfId="0" applyFont="1" applyBorder="1" applyAlignment="1">
      <alignment vertical="center"/>
    </xf>
    <xf numFmtId="0" fontId="8" fillId="0" borderId="20" xfId="0" applyFont="1" applyBorder="1" applyAlignment="1">
      <alignment vertical="center"/>
    </xf>
    <xf numFmtId="0" fontId="8" fillId="0" borderId="37" xfId="0" applyFont="1" applyBorder="1" applyAlignment="1">
      <alignment horizontal="center" vertical="center"/>
    </xf>
    <xf numFmtId="0" fontId="8" fillId="0" borderId="15" xfId="0" applyFont="1" applyBorder="1" applyAlignment="1">
      <alignment vertical="center"/>
    </xf>
    <xf numFmtId="0" fontId="8" fillId="0" borderId="14" xfId="0" applyFont="1" applyBorder="1" applyAlignment="1">
      <alignment vertical="center"/>
    </xf>
    <xf numFmtId="165" fontId="0" fillId="0" borderId="0" xfId="0" applyNumberFormat="1" applyAlignment="1">
      <alignment horizontal="left" vertical="top"/>
    </xf>
    <xf numFmtId="0" fontId="26" fillId="0" borderId="63" xfId="0" applyFont="1" applyBorder="1" applyAlignment="1">
      <alignment horizontal="center" vertical="center"/>
    </xf>
    <xf numFmtId="0" fontId="26" fillId="0" borderId="36" xfId="0" applyFont="1" applyBorder="1" applyAlignment="1">
      <alignment horizontal="center" vertical="center"/>
    </xf>
    <xf numFmtId="0" fontId="26" fillId="0" borderId="46" xfId="0" applyFont="1" applyBorder="1" applyAlignment="1">
      <alignment horizontal="center" vertical="center" wrapText="1"/>
    </xf>
    <xf numFmtId="0" fontId="26" fillId="0" borderId="0" xfId="0" applyFont="1" applyAlignment="1">
      <alignment vertical="top"/>
    </xf>
    <xf numFmtId="3" fontId="0" fillId="0" borderId="0" xfId="0" applyNumberFormat="1" applyAlignment="1">
      <alignment horizontal="left" vertical="top"/>
    </xf>
    <xf numFmtId="165" fontId="0" fillId="0" borderId="0" xfId="0" applyNumberFormat="1" applyAlignment="1">
      <alignment vertical="top"/>
    </xf>
    <xf numFmtId="165" fontId="0" fillId="0" borderId="15" xfId="0" applyNumberFormat="1" applyBorder="1" applyAlignment="1">
      <alignment horizontal="left" vertical="top"/>
    </xf>
    <xf numFmtId="165" fontId="0" fillId="0" borderId="21" xfId="0" applyNumberFormat="1" applyBorder="1" applyAlignment="1">
      <alignment horizontal="left" vertical="top"/>
    </xf>
    <xf numFmtId="0" fontId="26" fillId="0" borderId="72" xfId="0" applyFont="1" applyBorder="1" applyAlignment="1">
      <alignment horizontal="center" vertical="center" wrapText="1"/>
    </xf>
    <xf numFmtId="0" fontId="26" fillId="0" borderId="47" xfId="0" applyFont="1" applyBorder="1" applyAlignment="1">
      <alignment horizontal="center" vertical="center" wrapText="1"/>
    </xf>
    <xf numFmtId="1" fontId="0" fillId="0" borderId="0" xfId="0" applyNumberFormat="1" applyAlignment="1">
      <alignment vertical="top"/>
    </xf>
    <xf numFmtId="0" fontId="26" fillId="0" borderId="55" xfId="0" applyFont="1" applyBorder="1" applyAlignment="1">
      <alignment horizontal="left" vertical="top"/>
    </xf>
    <xf numFmtId="0" fontId="0" fillId="0" borderId="21" xfId="0" applyBorder="1"/>
    <xf numFmtId="0" fontId="29" fillId="2" borderId="37" xfId="0" applyFont="1" applyFill="1" applyBorder="1" applyAlignment="1">
      <alignment horizontal="center" vertical="center" wrapText="1"/>
    </xf>
    <xf numFmtId="0" fontId="8" fillId="0" borderId="38" xfId="0" applyFont="1" applyBorder="1" applyAlignment="1">
      <alignment horizontal="center" vertical="center"/>
    </xf>
    <xf numFmtId="0" fontId="0" fillId="0" borderId="0" xfId="0" applyAlignment="1">
      <alignment horizontal="center"/>
    </xf>
    <xf numFmtId="0" fontId="0" fillId="0" borderId="20" xfId="0" applyBorder="1" applyAlignment="1" applyProtection="1">
      <alignment vertical="top"/>
      <protection locked="0"/>
    </xf>
    <xf numFmtId="165" fontId="0" fillId="0" borderId="20" xfId="0" applyNumberFormat="1" applyBorder="1" applyAlignment="1" applyProtection="1">
      <alignment horizontal="left" vertical="top"/>
      <protection locked="0"/>
    </xf>
    <xf numFmtId="0" fontId="0" fillId="0" borderId="62" xfId="0" applyBorder="1" applyAlignment="1" applyProtection="1">
      <alignment horizontal="left" vertical="top"/>
      <protection locked="0"/>
    </xf>
    <xf numFmtId="0" fontId="0" fillId="0" borderId="33" xfId="0" applyBorder="1" applyAlignment="1" applyProtection="1">
      <alignment horizontal="left" vertical="top"/>
      <protection locked="0"/>
    </xf>
    <xf numFmtId="3" fontId="0" fillId="0" borderId="33" xfId="0" applyNumberFormat="1"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165" fontId="0" fillId="0" borderId="15" xfId="0" applyNumberFormat="1" applyBorder="1" applyAlignment="1" applyProtection="1">
      <alignment horizontal="left" vertical="top"/>
      <protection locked="0"/>
    </xf>
    <xf numFmtId="165" fontId="0" fillId="0" borderId="21" xfId="0" applyNumberFormat="1" applyBorder="1" applyAlignment="1" applyProtection="1">
      <alignment horizontal="left" vertical="top"/>
      <protection locked="0"/>
    </xf>
    <xf numFmtId="0" fontId="0" fillId="0" borderId="15" xfId="0" applyBorder="1" applyAlignment="1" applyProtection="1">
      <alignment vertical="top"/>
      <protection locked="0"/>
    </xf>
    <xf numFmtId="0" fontId="0" fillId="0" borderId="21" xfId="0" applyBorder="1" applyAlignment="1" applyProtection="1">
      <alignment vertical="top"/>
      <protection locked="0"/>
    </xf>
    <xf numFmtId="0" fontId="0" fillId="0" borderId="19" xfId="0" applyBorder="1" applyAlignment="1" applyProtection="1">
      <alignment horizontal="left" vertical="top"/>
      <protection locked="0"/>
    </xf>
    <xf numFmtId="0" fontId="28" fillId="2" borderId="37" xfId="0" applyFont="1" applyFill="1" applyBorder="1" applyAlignment="1" applyProtection="1">
      <alignment horizontal="center" vertical="center" wrapText="1"/>
      <protection locked="0"/>
    </xf>
    <xf numFmtId="0" fontId="28" fillId="2" borderId="35" xfId="0" applyFont="1" applyFill="1" applyBorder="1" applyAlignment="1" applyProtection="1">
      <alignment horizontal="center" vertical="center" wrapText="1"/>
      <protection locked="0"/>
    </xf>
    <xf numFmtId="0" fontId="28" fillId="2" borderId="36" xfId="0" applyFont="1" applyFill="1" applyBorder="1" applyAlignment="1" applyProtection="1">
      <alignment horizontal="center" vertical="center" wrapText="1"/>
      <protection locked="0"/>
    </xf>
    <xf numFmtId="0" fontId="28" fillId="2" borderId="20" xfId="0" applyFont="1" applyFill="1" applyBorder="1" applyAlignment="1" applyProtection="1">
      <alignment horizontal="center" vertical="center" wrapText="1"/>
      <protection locked="0"/>
    </xf>
    <xf numFmtId="0" fontId="28" fillId="2" borderId="21" xfId="0" applyFont="1" applyFill="1" applyBorder="1" applyAlignment="1" applyProtection="1">
      <alignment horizontal="center" vertical="center" wrapText="1"/>
      <protection locked="0"/>
    </xf>
    <xf numFmtId="0" fontId="28" fillId="2" borderId="33" xfId="0" applyFont="1" applyFill="1" applyBorder="1" applyAlignment="1" applyProtection="1">
      <alignment horizontal="center" vertical="center" wrapText="1"/>
      <protection locked="0"/>
    </xf>
    <xf numFmtId="0" fontId="29" fillId="2" borderId="37" xfId="0" applyFont="1" applyFill="1" applyBorder="1" applyAlignment="1" applyProtection="1">
      <alignment horizontal="center" vertical="center" wrapText="1"/>
      <protection locked="0"/>
    </xf>
    <xf numFmtId="0" fontId="28" fillId="2" borderId="1" xfId="0" applyFont="1" applyFill="1" applyBorder="1" applyAlignment="1">
      <alignment horizontal="center" vertical="center" wrapText="1"/>
    </xf>
    <xf numFmtId="0" fontId="28" fillId="2" borderId="1" xfId="0" applyFont="1" applyFill="1" applyBorder="1" applyAlignment="1" applyProtection="1">
      <alignment horizontal="center" vertical="center" wrapText="1"/>
      <protection locked="0"/>
    </xf>
    <xf numFmtId="0" fontId="23" fillId="0" borderId="0" xfId="0" applyFont="1" applyAlignment="1">
      <alignment horizontal="left"/>
    </xf>
    <xf numFmtId="0" fontId="29" fillId="2" borderId="1" xfId="0" applyFont="1" applyFill="1" applyBorder="1" applyAlignment="1" applyProtection="1">
      <alignment horizontal="center" vertical="center" wrapText="1"/>
      <protection locked="0"/>
    </xf>
    <xf numFmtId="0" fontId="0" fillId="0" borderId="38" xfId="0" applyBorder="1" applyAlignment="1">
      <alignment horizontal="center" vertical="center"/>
    </xf>
    <xf numFmtId="1" fontId="0" fillId="0" borderId="33" xfId="0" applyNumberFormat="1" applyBorder="1" applyAlignment="1" applyProtection="1">
      <alignment horizontal="left" vertical="top"/>
      <protection locked="0"/>
    </xf>
    <xf numFmtId="166" fontId="0" fillId="0" borderId="0" xfId="0" applyNumberFormat="1" applyAlignment="1">
      <alignment horizontal="left"/>
    </xf>
    <xf numFmtId="0" fontId="23" fillId="0" borderId="5" xfId="0" applyFont="1" applyBorder="1" applyAlignment="1">
      <alignment vertical="center"/>
    </xf>
    <xf numFmtId="0" fontId="23" fillId="0" borderId="8" xfId="0" applyFont="1" applyBorder="1" applyAlignment="1">
      <alignment vertical="center"/>
    </xf>
    <xf numFmtId="0" fontId="0" fillId="0" borderId="19" xfId="0" applyBorder="1" applyAlignment="1">
      <alignment horizontal="left" vertical="top"/>
    </xf>
    <xf numFmtId="0" fontId="0" fillId="0" borderId="32" xfId="0" applyBorder="1" applyAlignment="1">
      <alignment horizontal="left" vertical="top"/>
    </xf>
    <xf numFmtId="3" fontId="8" fillId="0" borderId="15" xfId="0" applyNumberFormat="1" applyFont="1" applyBorder="1" applyAlignment="1">
      <alignment horizontal="center"/>
    </xf>
    <xf numFmtId="3" fontId="8" fillId="0" borderId="0" xfId="0" applyNumberFormat="1" applyFont="1" applyAlignment="1">
      <alignment horizontal="center"/>
    </xf>
    <xf numFmtId="3" fontId="0" fillId="0" borderId="0" xfId="0" applyNumberFormat="1" applyAlignment="1">
      <alignment horizontal="left"/>
    </xf>
    <xf numFmtId="0" fontId="0" fillId="0" borderId="21" xfId="0" applyBorder="1" applyAlignment="1">
      <alignment horizontal="left" vertical="center"/>
    </xf>
    <xf numFmtId="0" fontId="0" fillId="0" borderId="27" xfId="0" applyBorder="1" applyAlignment="1">
      <alignment horizontal="left" vertical="center"/>
    </xf>
    <xf numFmtId="0" fontId="0" fillId="0" borderId="20" xfId="0" applyBorder="1" applyAlignment="1" applyProtection="1">
      <alignment horizontal="left" vertical="top"/>
      <protection locked="0"/>
    </xf>
    <xf numFmtId="0" fontId="0" fillId="0" borderId="14" xfId="0" applyBorder="1" applyAlignment="1">
      <alignment horizontal="center" vertical="center"/>
    </xf>
    <xf numFmtId="0" fontId="8" fillId="0" borderId="39" xfId="0" applyFont="1" applyBorder="1" applyAlignment="1">
      <alignment horizontal="center" vertical="center"/>
    </xf>
    <xf numFmtId="0" fontId="8" fillId="0" borderId="37" xfId="0" applyFont="1" applyBorder="1" applyAlignment="1">
      <alignment horizontal="center" vertical="center" wrapText="1"/>
    </xf>
    <xf numFmtId="0" fontId="8" fillId="0" borderId="15" xfId="0" applyFont="1" applyBorder="1" applyAlignment="1">
      <alignment horizontal="center" vertical="center"/>
    </xf>
    <xf numFmtId="0" fontId="8" fillId="0" borderId="27" xfId="0" applyFont="1" applyBorder="1" applyAlignment="1">
      <alignment horizontal="center" vertical="center"/>
    </xf>
    <xf numFmtId="0" fontId="8" fillId="0" borderId="28" xfId="0" applyFont="1" applyBorder="1" applyAlignment="1">
      <alignment horizontal="center" vertical="center"/>
    </xf>
    <xf numFmtId="0" fontId="0" fillId="0" borderId="26" xfId="0" applyBorder="1" applyAlignment="1">
      <alignment horizontal="left" vertical="center"/>
    </xf>
    <xf numFmtId="0" fontId="0" fillId="0" borderId="37" xfId="0" applyBorder="1" applyAlignment="1" applyProtection="1">
      <alignment vertical="top"/>
      <protection locked="0"/>
    </xf>
    <xf numFmtId="0" fontId="0" fillId="0" borderId="37" xfId="0" applyBorder="1" applyAlignment="1" applyProtection="1">
      <alignment horizontal="left" vertical="top"/>
      <protection locked="0"/>
    </xf>
    <xf numFmtId="165" fontId="0" fillId="0" borderId="37" xfId="0" applyNumberFormat="1" applyBorder="1" applyAlignment="1" applyProtection="1">
      <alignment horizontal="left" vertical="top"/>
      <protection locked="0"/>
    </xf>
    <xf numFmtId="165" fontId="0" fillId="0" borderId="20" xfId="0" applyNumberFormat="1" applyBorder="1" applyAlignment="1" applyProtection="1">
      <alignment vertical="top"/>
      <protection locked="0"/>
    </xf>
    <xf numFmtId="165" fontId="0" fillId="0" borderId="37" xfId="0" applyNumberFormat="1" applyBorder="1" applyAlignment="1" applyProtection="1">
      <alignment vertical="top"/>
      <protection locked="0"/>
    </xf>
    <xf numFmtId="0" fontId="8" fillId="0" borderId="21" xfId="0" applyFont="1" applyBorder="1" applyAlignment="1">
      <alignment horizontal="center" vertical="center"/>
    </xf>
    <xf numFmtId="0" fontId="26" fillId="0" borderId="37" xfId="0" applyFont="1" applyBorder="1" applyAlignment="1">
      <alignment horizontal="left" vertical="top"/>
    </xf>
    <xf numFmtId="4" fontId="0" fillId="0" borderId="20" xfId="0" applyNumberFormat="1" applyBorder="1" applyAlignment="1" applyProtection="1">
      <alignment horizontal="right" vertical="top"/>
      <protection locked="0"/>
    </xf>
    <xf numFmtId="4" fontId="0" fillId="0" borderId="37" xfId="0" applyNumberFormat="1" applyBorder="1" applyAlignment="1" applyProtection="1">
      <alignment horizontal="right" vertical="top"/>
      <protection locked="0"/>
    </xf>
    <xf numFmtId="0" fontId="0" fillId="0" borderId="37" xfId="0" applyBorder="1" applyAlignment="1">
      <alignment horizontal="center" vertical="center"/>
    </xf>
    <xf numFmtId="165" fontId="0" fillId="0" borderId="20" xfId="0" applyNumberFormat="1" applyBorder="1" applyAlignment="1" applyProtection="1">
      <alignment horizontal="center" vertical="top"/>
      <protection locked="0"/>
    </xf>
    <xf numFmtId="165" fontId="0" fillId="0" borderId="37" xfId="0" applyNumberFormat="1" applyBorder="1" applyAlignment="1" applyProtection="1">
      <alignment horizontal="center" vertical="top"/>
      <protection locked="0"/>
    </xf>
    <xf numFmtId="165" fontId="0" fillId="0" borderId="37" xfId="0" applyNumberFormat="1" applyBorder="1" applyAlignment="1">
      <alignment horizontal="center" vertical="center"/>
    </xf>
    <xf numFmtId="0" fontId="0" fillId="0" borderId="37" xfId="0" applyBorder="1" applyAlignment="1" applyProtection="1">
      <alignment horizontal="center" vertical="top"/>
      <protection locked="0"/>
    </xf>
    <xf numFmtId="0" fontId="0" fillId="0" borderId="33" xfId="0" applyBorder="1" applyAlignment="1" applyProtection="1">
      <alignment horizontal="left" vertical="center"/>
      <protection locked="0"/>
    </xf>
    <xf numFmtId="0" fontId="0" fillId="0" borderId="51" xfId="0" applyBorder="1" applyAlignment="1" applyProtection="1">
      <alignment vertical="center"/>
      <protection locked="0"/>
    </xf>
    <xf numFmtId="165" fontId="0" fillId="0" borderId="33" xfId="0" applyNumberFormat="1" applyBorder="1" applyAlignment="1" applyProtection="1">
      <alignment horizontal="left" vertical="center"/>
      <protection locked="0"/>
    </xf>
    <xf numFmtId="0" fontId="0" fillId="0" borderId="37" xfId="0" applyBorder="1" applyAlignment="1">
      <alignment horizontal="center" vertical="center" wrapText="1"/>
    </xf>
    <xf numFmtId="4" fontId="0" fillId="0" borderId="20" xfId="0" applyNumberFormat="1" applyBorder="1" applyAlignment="1" applyProtection="1">
      <alignment horizontal="left" vertical="top"/>
      <protection locked="0"/>
    </xf>
    <xf numFmtId="0" fontId="0" fillId="0" borderId="37" xfId="0" applyBorder="1" applyAlignment="1">
      <alignment horizontal="right" vertical="center"/>
    </xf>
    <xf numFmtId="4" fontId="0" fillId="0" borderId="37" xfId="0" applyNumberFormat="1" applyBorder="1" applyAlignment="1">
      <alignment horizontal="center" vertical="center"/>
    </xf>
    <xf numFmtId="4" fontId="0" fillId="0" borderId="20" xfId="0" applyNumberFormat="1" applyBorder="1" applyAlignment="1">
      <alignment horizontal="center" vertical="center"/>
    </xf>
    <xf numFmtId="4" fontId="0" fillId="0" borderId="38" xfId="0" applyNumberFormat="1" applyBorder="1" applyAlignment="1">
      <alignment horizontal="center" vertical="center"/>
    </xf>
    <xf numFmtId="0" fontId="0" fillId="0" borderId="20" xfId="0" applyBorder="1" applyAlignment="1">
      <alignment horizontal="right" vertical="center"/>
    </xf>
    <xf numFmtId="1" fontId="0" fillId="0" borderId="37" xfId="0" applyNumberFormat="1" applyBorder="1" applyAlignment="1">
      <alignment horizontal="center" vertical="center"/>
    </xf>
    <xf numFmtId="0" fontId="0" fillId="0" borderId="0" xfId="0" applyAlignment="1" applyProtection="1">
      <alignment horizontal="left" vertical="top"/>
      <protection locked="0"/>
    </xf>
    <xf numFmtId="0" fontId="0" fillId="0" borderId="37" xfId="0" applyBorder="1" applyAlignment="1" applyProtection="1">
      <alignment horizontal="left"/>
      <protection locked="0"/>
    </xf>
    <xf numFmtId="0" fontId="0" fillId="0" borderId="37" xfId="0" applyBorder="1"/>
    <xf numFmtId="0" fontId="0" fillId="0" borderId="35" xfId="0" applyBorder="1"/>
    <xf numFmtId="0" fontId="0" fillId="0" borderId="15" xfId="0" applyBorder="1" applyAlignment="1">
      <alignment horizontal="center"/>
    </xf>
    <xf numFmtId="0" fontId="0" fillId="0" borderId="14"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8" fillId="0" borderId="0" xfId="0" applyFont="1" applyAlignment="1">
      <alignment horizontal="right"/>
    </xf>
    <xf numFmtId="0" fontId="0" fillId="0" borderId="15" xfId="0" applyBorder="1" applyAlignment="1">
      <alignment horizontal="left"/>
    </xf>
    <xf numFmtId="167" fontId="8" fillId="0" borderId="1" xfId="1" applyNumberFormat="1" applyFont="1" applyBorder="1"/>
    <xf numFmtId="0" fontId="16" fillId="0" borderId="0" xfId="0" applyFont="1"/>
    <xf numFmtId="0" fontId="16" fillId="0" borderId="0" xfId="0" applyFont="1" applyAlignment="1">
      <alignment horizontal="right" vertical="center"/>
    </xf>
    <xf numFmtId="0" fontId="19" fillId="0" borderId="0" xfId="0" applyFont="1" applyAlignment="1">
      <alignment horizontal="right" vertical="center"/>
    </xf>
    <xf numFmtId="0" fontId="0" fillId="0" borderId="37" xfId="0" applyBorder="1" applyAlignment="1">
      <alignment horizontal="left"/>
    </xf>
    <xf numFmtId="0" fontId="26" fillId="0" borderId="50" xfId="0" applyFont="1" applyBorder="1" applyAlignment="1">
      <alignment horizontal="center" vertical="center" wrapText="1"/>
    </xf>
    <xf numFmtId="0" fontId="26" fillId="0" borderId="49" xfId="0" applyFont="1" applyBorder="1" applyAlignment="1">
      <alignment horizontal="center" vertical="center" wrapText="1"/>
    </xf>
    <xf numFmtId="0" fontId="26" fillId="0" borderId="60" xfId="0" applyFont="1" applyBorder="1" applyAlignment="1">
      <alignment horizontal="center" vertical="center" wrapText="1"/>
    </xf>
    <xf numFmtId="0" fontId="30" fillId="9" borderId="0" xfId="0" applyFont="1" applyFill="1" applyAlignment="1">
      <alignment horizontal="center" vertical="center"/>
    </xf>
    <xf numFmtId="9" fontId="0" fillId="0" borderId="37" xfId="0" applyNumberFormat="1" applyBorder="1" applyAlignment="1">
      <alignment horizontal="center" vertical="center"/>
    </xf>
    <xf numFmtId="9" fontId="0" fillId="0" borderId="37" xfId="3" applyFont="1" applyBorder="1" applyAlignment="1">
      <alignment horizontal="center" vertical="center"/>
    </xf>
    <xf numFmtId="10" fontId="0" fillId="0" borderId="37" xfId="3" applyNumberFormat="1" applyFont="1" applyBorder="1" applyAlignment="1">
      <alignment horizontal="center" vertical="center"/>
    </xf>
    <xf numFmtId="0" fontId="26" fillId="0" borderId="34" xfId="0" applyFont="1" applyBorder="1" applyAlignment="1">
      <alignment horizontal="left" vertical="top"/>
    </xf>
    <xf numFmtId="0" fontId="26" fillId="0" borderId="14" xfId="0" applyFont="1" applyBorder="1" applyAlignment="1">
      <alignment horizontal="left" vertical="top"/>
    </xf>
    <xf numFmtId="0" fontId="26" fillId="0" borderId="21" xfId="0" applyFont="1" applyBorder="1" applyAlignment="1">
      <alignment horizontal="center" vertical="center"/>
    </xf>
    <xf numFmtId="0" fontId="0" fillId="0" borderId="37" xfId="0" applyBorder="1" applyAlignment="1">
      <alignment horizontal="center"/>
    </xf>
    <xf numFmtId="0" fontId="26" fillId="0" borderId="0" xfId="0" applyFont="1" applyAlignment="1">
      <alignment horizontal="center" vertical="center"/>
    </xf>
    <xf numFmtId="0" fontId="28" fillId="2" borderId="15" xfId="0" applyFont="1" applyFill="1" applyBorder="1" applyAlignment="1" applyProtection="1">
      <alignment horizontal="center" vertical="center" wrapText="1"/>
      <protection locked="0"/>
    </xf>
    <xf numFmtId="0" fontId="26" fillId="0" borderId="0" xfId="0" applyFont="1" applyAlignment="1">
      <alignment horizontal="center" vertical="top"/>
    </xf>
    <xf numFmtId="0" fontId="0" fillId="0" borderId="0" xfId="0" applyAlignment="1">
      <alignment horizontal="center" vertical="top"/>
    </xf>
    <xf numFmtId="9" fontId="0" fillId="0" borderId="37" xfId="0" applyNumberFormat="1" applyBorder="1" applyAlignment="1">
      <alignment horizontal="center"/>
    </xf>
    <xf numFmtId="9" fontId="0" fillId="0" borderId="37" xfId="3" applyFont="1" applyBorder="1" applyAlignment="1">
      <alignment horizontal="center"/>
    </xf>
    <xf numFmtId="0" fontId="26" fillId="0" borderId="77" xfId="0" applyFont="1" applyBorder="1" applyAlignment="1">
      <alignment horizontal="left" vertical="top"/>
    </xf>
    <xf numFmtId="1" fontId="0" fillId="0" borderId="0" xfId="0" applyNumberFormat="1" applyAlignment="1">
      <alignment horizontal="center" vertical="top"/>
    </xf>
    <xf numFmtId="169" fontId="0" fillId="0" borderId="37" xfId="2" applyNumberFormat="1" applyFont="1" applyBorder="1" applyAlignment="1">
      <alignment horizontal="center" vertical="center"/>
    </xf>
    <xf numFmtId="0" fontId="0" fillId="4" borderId="37" xfId="0" applyFill="1" applyBorder="1" applyAlignment="1">
      <alignment horizontal="center"/>
    </xf>
    <xf numFmtId="0" fontId="8" fillId="0" borderId="0" xfId="0" applyFont="1" applyAlignment="1">
      <alignment horizontal="center" vertical="center" wrapText="1"/>
    </xf>
    <xf numFmtId="0" fontId="0" fillId="0" borderId="0" xfId="0" applyAlignment="1">
      <alignment horizontal="center" vertical="center" wrapText="1"/>
    </xf>
    <xf numFmtId="2" fontId="8" fillId="0" borderId="0" xfId="0" applyNumberFormat="1" applyFont="1" applyAlignment="1">
      <alignment horizontal="center"/>
    </xf>
    <xf numFmtId="0" fontId="34" fillId="0" borderId="20" xfId="4" applyBorder="1" applyProtection="1">
      <protection locked="0"/>
    </xf>
    <xf numFmtId="0" fontId="24" fillId="0" borderId="0" xfId="0" applyFont="1" applyAlignment="1">
      <alignment horizontal="center" vertical="center"/>
    </xf>
    <xf numFmtId="0" fontId="35" fillId="0" borderId="0" xfId="0" applyFont="1" applyAlignment="1">
      <alignment vertical="center"/>
    </xf>
    <xf numFmtId="10" fontId="36" fillId="0" borderId="0" xfId="0" applyNumberFormat="1" applyFont="1" applyAlignment="1">
      <alignment horizontal="center" vertical="center" wrapText="1"/>
    </xf>
    <xf numFmtId="9" fontId="36" fillId="0" borderId="0" xfId="0" applyNumberFormat="1" applyFont="1" applyAlignment="1">
      <alignment vertical="center" wrapText="1"/>
    </xf>
    <xf numFmtId="0" fontId="21" fillId="5" borderId="37" xfId="0" applyFont="1" applyFill="1" applyBorder="1" applyAlignment="1">
      <alignment horizontal="center" vertical="center" wrapText="1"/>
    </xf>
    <xf numFmtId="0" fontId="21" fillId="5" borderId="37" xfId="0" applyFont="1" applyFill="1" applyBorder="1" applyAlignment="1">
      <alignment horizontal="center"/>
    </xf>
    <xf numFmtId="0" fontId="0" fillId="0" borderId="20" xfId="0" applyBorder="1"/>
    <xf numFmtId="0" fontId="0" fillId="0" borderId="26" xfId="0" applyBorder="1" applyAlignment="1">
      <alignment horizontal="center"/>
    </xf>
    <xf numFmtId="9" fontId="0" fillId="0" borderId="26" xfId="0" applyNumberFormat="1" applyBorder="1" applyAlignment="1">
      <alignment horizontal="center"/>
    </xf>
    <xf numFmtId="9" fontId="0" fillId="0" borderId="36" xfId="0" applyNumberFormat="1" applyBorder="1" applyAlignment="1">
      <alignment horizontal="center"/>
    </xf>
    <xf numFmtId="170" fontId="0" fillId="0" borderId="26" xfId="0" applyNumberFormat="1" applyBorder="1" applyAlignment="1">
      <alignment horizontal="center"/>
    </xf>
    <xf numFmtId="0" fontId="0" fillId="0" borderId="21" xfId="0" applyBorder="1" applyAlignment="1">
      <alignment horizontal="center"/>
    </xf>
    <xf numFmtId="9" fontId="0" fillId="0" borderId="21" xfId="0" applyNumberFormat="1" applyBorder="1" applyAlignment="1">
      <alignment horizontal="center"/>
    </xf>
    <xf numFmtId="0" fontId="8" fillId="0" borderId="78" xfId="0" applyFont="1" applyBorder="1" applyAlignment="1">
      <alignment horizontal="center"/>
    </xf>
    <xf numFmtId="1" fontId="8" fillId="0" borderId="78" xfId="0" applyNumberFormat="1" applyFont="1" applyBorder="1" applyAlignment="1">
      <alignment horizontal="center"/>
    </xf>
    <xf numFmtId="0" fontId="8" fillId="10" borderId="79" xfId="0" applyFont="1" applyFill="1" applyBorder="1" applyAlignment="1">
      <alignment horizontal="center" vertical="center"/>
    </xf>
    <xf numFmtId="0" fontId="0" fillId="10" borderId="36" xfId="0" applyFill="1" applyBorder="1" applyAlignment="1">
      <alignment horizontal="center" vertical="center"/>
    </xf>
    <xf numFmtId="0" fontId="0" fillId="11" borderId="37" xfId="0" applyFill="1" applyBorder="1" applyAlignment="1">
      <alignment horizontal="center" vertical="center"/>
    </xf>
    <xf numFmtId="0" fontId="0" fillId="12" borderId="81" xfId="0" applyFill="1" applyBorder="1" applyAlignment="1">
      <alignment horizontal="center" vertical="center"/>
    </xf>
    <xf numFmtId="0" fontId="0" fillId="7" borderId="36" xfId="0" applyFill="1" applyBorder="1" applyAlignment="1">
      <alignment horizontal="center" vertical="center"/>
    </xf>
    <xf numFmtId="0" fontId="0" fillId="10" borderId="81" xfId="0" applyFill="1" applyBorder="1" applyAlignment="1">
      <alignment horizontal="center" vertical="center"/>
    </xf>
    <xf numFmtId="2" fontId="0" fillId="7" borderId="36" xfId="0" applyNumberFormat="1" applyFill="1" applyBorder="1" applyAlignment="1">
      <alignment horizontal="center" vertical="center"/>
    </xf>
    <xf numFmtId="2" fontId="0" fillId="11" borderId="37" xfId="0" applyNumberFormat="1" applyFill="1" applyBorder="1" applyAlignment="1">
      <alignment horizontal="center" vertical="center"/>
    </xf>
    <xf numFmtId="2" fontId="0" fillId="10" borderId="81" xfId="0" applyNumberFormat="1" applyFill="1" applyBorder="1" applyAlignment="1">
      <alignment horizontal="center" vertical="center"/>
    </xf>
    <xf numFmtId="0" fontId="8" fillId="16" borderId="15" xfId="0" applyFont="1" applyFill="1" applyBorder="1" applyAlignment="1">
      <alignment horizontal="center" vertical="center"/>
    </xf>
    <xf numFmtId="10" fontId="8" fillId="0" borderId="78" xfId="0" applyNumberFormat="1" applyFont="1" applyBorder="1" applyAlignment="1">
      <alignment horizontal="center"/>
    </xf>
    <xf numFmtId="0" fontId="21" fillId="12" borderId="80" xfId="0" applyFont="1" applyFill="1" applyBorder="1" applyAlignment="1">
      <alignment horizontal="center" vertical="center"/>
    </xf>
    <xf numFmtId="170" fontId="0" fillId="10" borderId="26" xfId="0" applyNumberFormat="1" applyFill="1" applyBorder="1" applyAlignment="1">
      <alignment horizontal="center"/>
    </xf>
    <xf numFmtId="9" fontId="8" fillId="0" borderId="78" xfId="0" applyNumberFormat="1" applyFont="1" applyBorder="1" applyAlignment="1">
      <alignment horizontal="center"/>
    </xf>
    <xf numFmtId="0" fontId="8" fillId="0" borderId="14" xfId="0" applyFont="1" applyBorder="1" applyAlignment="1">
      <alignment horizontal="center"/>
    </xf>
    <xf numFmtId="0" fontId="0" fillId="0" borderId="0" xfId="0" applyAlignment="1">
      <alignment horizontal="justify" vertical="top" wrapText="1"/>
    </xf>
    <xf numFmtId="0" fontId="0" fillId="0" borderId="0" xfId="0" applyAlignment="1">
      <alignment horizontal="left" vertical="top" wrapText="1"/>
    </xf>
    <xf numFmtId="0" fontId="8" fillId="0" borderId="0" xfId="0" applyFont="1" applyAlignment="1">
      <alignment horizontal="left" vertical="top" wrapText="1"/>
    </xf>
    <xf numFmtId="0" fontId="0" fillId="0" borderId="0" xfId="0" applyAlignment="1">
      <alignment vertical="top" wrapText="1"/>
    </xf>
    <xf numFmtId="2" fontId="0" fillId="0" borderId="0" xfId="0" applyNumberFormat="1"/>
    <xf numFmtId="2" fontId="0" fillId="0" borderId="26" xfId="0" applyNumberFormat="1" applyBorder="1" applyAlignment="1">
      <alignment horizontal="center"/>
    </xf>
    <xf numFmtId="0" fontId="0" fillId="0" borderId="20" xfId="0" applyBorder="1" applyAlignment="1">
      <alignment horizontal="left" vertical="top"/>
    </xf>
    <xf numFmtId="0" fontId="0" fillId="0" borderId="37" xfId="0" applyBorder="1" applyProtection="1">
      <protection locked="0"/>
    </xf>
    <xf numFmtId="165" fontId="0" fillId="0" borderId="20" xfId="0" applyNumberFormat="1" applyBorder="1" applyAlignment="1">
      <alignment horizontal="left" vertical="top"/>
    </xf>
    <xf numFmtId="1" fontId="0" fillId="0" borderId="20" xfId="0" applyNumberFormat="1" applyBorder="1" applyAlignment="1">
      <alignment horizontal="left" vertical="top"/>
    </xf>
    <xf numFmtId="1" fontId="0" fillId="12" borderId="81" xfId="0" applyNumberFormat="1" applyFill="1" applyBorder="1" applyAlignment="1">
      <alignment horizontal="center" vertical="center"/>
    </xf>
    <xf numFmtId="0" fontId="0" fillId="0" borderId="20" xfId="0" applyBorder="1" applyAlignment="1">
      <alignment vertical="top"/>
    </xf>
    <xf numFmtId="0" fontId="31" fillId="0" borderId="0" xfId="0" applyFont="1" applyAlignment="1">
      <alignment vertical="center"/>
    </xf>
    <xf numFmtId="0" fontId="8" fillId="0" borderId="0" xfId="0" applyFont="1" applyAlignment="1">
      <alignment horizontal="left" vertical="center"/>
    </xf>
    <xf numFmtId="0" fontId="37" fillId="2" borderId="37" xfId="0" applyFont="1" applyFill="1" applyBorder="1" applyAlignment="1">
      <alignment horizontal="left" vertical="center"/>
    </xf>
    <xf numFmtId="0" fontId="38" fillId="2" borderId="37" xfId="0" applyFont="1" applyFill="1" applyBorder="1" applyAlignment="1">
      <alignment horizontal="left" vertical="center"/>
    </xf>
    <xf numFmtId="0" fontId="0" fillId="0" borderId="0" xfId="0" applyAlignment="1">
      <alignment horizontal="left" vertical="center"/>
    </xf>
    <xf numFmtId="0" fontId="10" fillId="0" borderId="84" xfId="0" applyFont="1" applyBorder="1" applyAlignment="1">
      <alignment vertical="center"/>
    </xf>
    <xf numFmtId="0" fontId="10" fillId="0" borderId="84" xfId="0" applyFont="1" applyBorder="1" applyAlignment="1">
      <alignment horizontal="left" vertical="center"/>
    </xf>
    <xf numFmtId="0" fontId="10" fillId="0" borderId="84" xfId="0" applyFont="1" applyBorder="1" applyAlignment="1">
      <alignment horizontal="left" vertical="top"/>
    </xf>
    <xf numFmtId="0" fontId="40" fillId="0" borderId="84" xfId="0" applyFont="1" applyBorder="1" applyAlignment="1">
      <alignment vertical="center" wrapText="1"/>
    </xf>
    <xf numFmtId="0" fontId="10" fillId="0" borderId="84" xfId="0" applyFont="1" applyBorder="1" applyAlignment="1">
      <alignment vertical="center" wrapText="1"/>
    </xf>
    <xf numFmtId="0" fontId="10" fillId="0" borderId="84" xfId="0" applyFont="1" applyBorder="1" applyAlignment="1">
      <alignment horizontal="left" vertical="center" wrapText="1"/>
    </xf>
    <xf numFmtId="0" fontId="10" fillId="0" borderId="84" xfId="0" applyFont="1" applyBorder="1" applyAlignment="1">
      <alignment horizontal="center" vertical="center" wrapText="1"/>
    </xf>
    <xf numFmtId="0" fontId="10" fillId="0" borderId="84" xfId="0" applyFont="1" applyBorder="1" applyAlignment="1">
      <alignment vertical="justify" wrapText="1"/>
    </xf>
    <xf numFmtId="0" fontId="10" fillId="0" borderId="84" xfId="0" applyFont="1" applyBorder="1" applyAlignment="1">
      <alignment horizontal="center" vertical="center"/>
    </xf>
    <xf numFmtId="0" fontId="0" fillId="0" borderId="84" xfId="0" applyBorder="1" applyAlignment="1">
      <alignment horizontal="center" vertical="center"/>
    </xf>
    <xf numFmtId="14" fontId="0" fillId="0" borderId="0" xfId="0" applyNumberFormat="1"/>
    <xf numFmtId="14" fontId="10" fillId="0" borderId="84" xfId="0" applyNumberFormat="1" applyFont="1" applyBorder="1" applyAlignment="1">
      <alignment horizontal="left" vertical="center" wrapText="1"/>
    </xf>
    <xf numFmtId="0" fontId="23" fillId="2" borderId="0" xfId="0" applyFont="1" applyFill="1" applyAlignment="1">
      <alignment vertical="justify" wrapText="1"/>
    </xf>
    <xf numFmtId="0" fontId="40" fillId="0" borderId="84" xfId="0" applyFont="1" applyBorder="1" applyAlignment="1">
      <alignment horizontal="left" vertical="center" wrapText="1"/>
    </xf>
    <xf numFmtId="0" fontId="10" fillId="0" borderId="96" xfId="0" applyFont="1" applyBorder="1" applyAlignment="1">
      <alignment vertical="center"/>
    </xf>
    <xf numFmtId="0" fontId="10" fillId="0" borderId="103" xfId="0" applyFont="1" applyBorder="1" applyAlignment="1">
      <alignment vertical="center" wrapText="1"/>
    </xf>
    <xf numFmtId="0" fontId="10" fillId="0" borderId="92" xfId="0" applyFont="1" applyBorder="1" applyAlignment="1">
      <alignment vertical="center"/>
    </xf>
    <xf numFmtId="0" fontId="15" fillId="0" borderId="0" xfId="0" applyFont="1"/>
    <xf numFmtId="0" fontId="23" fillId="2" borderId="0" xfId="0" applyFont="1" applyFill="1" applyAlignment="1">
      <alignment horizontal="center" vertical="justify" wrapText="1"/>
    </xf>
    <xf numFmtId="0" fontId="23" fillId="2" borderId="0" xfId="0" applyFont="1" applyFill="1" applyAlignment="1">
      <alignment horizontal="left" vertical="justify" wrapText="1"/>
    </xf>
    <xf numFmtId="0" fontId="23" fillId="2" borderId="0" xfId="0" applyFont="1" applyFill="1" applyAlignment="1">
      <alignment horizontal="center"/>
    </xf>
    <xf numFmtId="0" fontId="10" fillId="2" borderId="0" xfId="0" applyFont="1" applyFill="1" applyAlignment="1">
      <alignment horizontal="left"/>
    </xf>
    <xf numFmtId="0" fontId="23" fillId="0" borderId="0" xfId="0" applyFont="1" applyAlignment="1">
      <alignment horizontal="right"/>
    </xf>
    <xf numFmtId="0" fontId="23" fillId="0" borderId="0" xfId="0" applyFont="1" applyAlignment="1">
      <alignment vertical="center"/>
    </xf>
    <xf numFmtId="0" fontId="10" fillId="0" borderId="98" xfId="0" applyFont="1" applyBorder="1" applyAlignment="1">
      <alignment vertical="center"/>
    </xf>
    <xf numFmtId="0" fontId="10" fillId="0" borderId="98" xfId="0" applyFont="1" applyBorder="1" applyAlignment="1">
      <alignment vertical="center" wrapText="1"/>
    </xf>
    <xf numFmtId="0" fontId="10" fillId="0" borderId="99" xfId="0" applyFont="1" applyBorder="1" applyAlignment="1">
      <alignment vertical="center" wrapText="1"/>
    </xf>
    <xf numFmtId="0" fontId="23" fillId="2" borderId="0" xfId="0" applyFont="1" applyFill="1"/>
    <xf numFmtId="0" fontId="23" fillId="2" borderId="14" xfId="0" applyFont="1" applyFill="1" applyBorder="1"/>
    <xf numFmtId="0" fontId="23" fillId="2" borderId="15" xfId="0" applyFont="1" applyFill="1" applyBorder="1" applyAlignment="1">
      <alignment horizontal="center"/>
    </xf>
    <xf numFmtId="0" fontId="23" fillId="2" borderId="14" xfId="0" applyFont="1" applyFill="1" applyBorder="1" applyAlignment="1">
      <alignment vertical="justify" wrapText="1"/>
    </xf>
    <xf numFmtId="0" fontId="23" fillId="2" borderId="14" xfId="0" applyFont="1" applyFill="1" applyBorder="1" applyAlignment="1">
      <alignment horizontal="left" vertical="justify" wrapText="1"/>
    </xf>
    <xf numFmtId="0" fontId="23" fillId="2" borderId="15" xfId="0" applyFont="1" applyFill="1" applyBorder="1"/>
    <xf numFmtId="0" fontId="23" fillId="2" borderId="19" xfId="0" applyFont="1" applyFill="1" applyBorder="1" applyAlignment="1">
      <alignment horizontal="center"/>
    </xf>
    <xf numFmtId="0" fontId="23" fillId="2" borderId="15" xfId="0" applyFont="1" applyFill="1" applyBorder="1" applyAlignment="1">
      <alignment horizontal="left" vertical="justify" wrapText="1"/>
    </xf>
    <xf numFmtId="171" fontId="23" fillId="2" borderId="0" xfId="0" applyNumberFormat="1" applyFont="1" applyFill="1" applyAlignment="1">
      <alignment horizontal="center" vertical="justify" wrapText="1"/>
    </xf>
    <xf numFmtId="0" fontId="23" fillId="2" borderId="15" xfId="0" applyFont="1" applyFill="1" applyBorder="1" applyAlignment="1">
      <alignment vertical="justify" wrapText="1"/>
    </xf>
    <xf numFmtId="0" fontId="11" fillId="0" borderId="2" xfId="0" applyFont="1" applyBorder="1" applyAlignment="1">
      <alignment wrapText="1"/>
    </xf>
    <xf numFmtId="0" fontId="24" fillId="0" borderId="0" xfId="0" applyFont="1"/>
    <xf numFmtId="0" fontId="0" fillId="0" borderId="0" xfId="0" applyAlignment="1">
      <alignment horizontal="right" vertical="center"/>
    </xf>
    <xf numFmtId="168" fontId="0" fillId="0" borderId="0" xfId="0" applyNumberFormat="1" applyAlignment="1">
      <alignment horizontal="left" vertical="center"/>
    </xf>
    <xf numFmtId="0" fontId="45" fillId="0" borderId="0" xfId="0" applyFont="1" applyAlignment="1">
      <alignment vertical="center"/>
    </xf>
    <xf numFmtId="0" fontId="45" fillId="0" borderId="0" xfId="0" applyFont="1"/>
    <xf numFmtId="0" fontId="45" fillId="0" borderId="0" xfId="0" applyFont="1" applyAlignment="1">
      <alignment wrapText="1"/>
    </xf>
    <xf numFmtId="0" fontId="46" fillId="0" borderId="0" xfId="0" applyFont="1" applyAlignment="1">
      <alignment horizontal="left" wrapText="1"/>
    </xf>
    <xf numFmtId="0" fontId="45" fillId="0" borderId="0" xfId="0" applyFont="1" applyAlignment="1">
      <alignment horizontal="left" wrapText="1"/>
    </xf>
    <xf numFmtId="171" fontId="46" fillId="0" borderId="14" xfId="0" applyNumberFormat="1" applyFont="1" applyBorder="1" applyAlignment="1">
      <alignment wrapText="1"/>
    </xf>
    <xf numFmtId="0" fontId="46" fillId="0" borderId="0" xfId="0" applyFont="1" applyAlignment="1">
      <alignment wrapText="1"/>
    </xf>
    <xf numFmtId="0" fontId="48" fillId="0" borderId="14" xfId="0" applyFont="1" applyBorder="1" applyAlignment="1">
      <alignment horizontal="left" wrapText="1"/>
    </xf>
    <xf numFmtId="0" fontId="45" fillId="0" borderId="0" xfId="0" applyFont="1" applyAlignment="1">
      <alignment horizontal="center" wrapText="1"/>
    </xf>
    <xf numFmtId="0" fontId="13" fillId="0" borderId="14" xfId="0" applyFont="1" applyBorder="1" applyAlignment="1">
      <alignment horizontal="left" wrapText="1"/>
    </xf>
    <xf numFmtId="0" fontId="46" fillId="0" borderId="14" xfId="0" applyFont="1" applyBorder="1" applyAlignment="1">
      <alignment horizontal="left" wrapText="1"/>
    </xf>
    <xf numFmtId="0" fontId="46" fillId="0" borderId="0" xfId="0" applyFont="1"/>
    <xf numFmtId="0" fontId="46" fillId="0" borderId="0" xfId="0" applyFont="1" applyAlignment="1">
      <alignment horizontal="left"/>
    </xf>
    <xf numFmtId="0" fontId="48" fillId="0" borderId="14" xfId="0" applyFont="1" applyBorder="1"/>
    <xf numFmtId="0" fontId="48" fillId="0" borderId="0" xfId="0" applyFont="1"/>
    <xf numFmtId="0" fontId="45" fillId="0" borderId="14" xfId="0" applyFont="1" applyBorder="1"/>
    <xf numFmtId="0" fontId="49" fillId="0" borderId="0" xfId="0" applyFont="1" applyAlignment="1">
      <alignment vertical="center"/>
    </xf>
    <xf numFmtId="0" fontId="49" fillId="0" borderId="0" xfId="0" applyFont="1"/>
    <xf numFmtId="0" fontId="48" fillId="0" borderId="0" xfId="0" applyFont="1" applyAlignment="1">
      <alignment wrapText="1"/>
    </xf>
    <xf numFmtId="0" fontId="13" fillId="0" borderId="0" xfId="0" applyFont="1"/>
    <xf numFmtId="0" fontId="10" fillId="0" borderId="108" xfId="0" applyFont="1" applyBorder="1" applyAlignment="1">
      <alignment vertical="center"/>
    </xf>
    <xf numFmtId="165" fontId="10" fillId="0" borderId="109" xfId="0" applyNumberFormat="1" applyFont="1" applyBorder="1" applyAlignment="1">
      <alignment vertical="center"/>
    </xf>
    <xf numFmtId="0" fontId="26" fillId="0" borderId="37" xfId="0" applyFont="1" applyBorder="1" applyAlignment="1">
      <alignment horizontal="left" vertical="top"/>
    </xf>
    <xf numFmtId="0" fontId="26" fillId="0" borderId="69" xfId="0" applyFont="1" applyBorder="1" applyAlignment="1">
      <alignment horizontal="left" vertical="top"/>
    </xf>
    <xf numFmtId="0" fontId="26" fillId="0" borderId="65" xfId="0" applyFont="1" applyBorder="1" applyAlignment="1">
      <alignment horizontal="left" vertical="top"/>
    </xf>
    <xf numFmtId="0" fontId="26" fillId="0" borderId="52" xfId="0" applyFont="1" applyBorder="1" applyAlignment="1">
      <alignment horizontal="left" vertical="top"/>
    </xf>
    <xf numFmtId="0" fontId="26" fillId="0" borderId="66" xfId="0" applyFont="1" applyBorder="1" applyAlignment="1">
      <alignment horizontal="left" vertical="top"/>
    </xf>
    <xf numFmtId="0" fontId="26" fillId="6" borderId="34" xfId="0" applyFont="1" applyFill="1" applyBorder="1" applyAlignment="1">
      <alignment horizontal="center" vertical="top"/>
    </xf>
    <xf numFmtId="0" fontId="26" fillId="6" borderId="14" xfId="0" applyFont="1" applyFill="1" applyBorder="1" applyAlignment="1">
      <alignment horizontal="center" vertical="top"/>
    </xf>
    <xf numFmtId="0" fontId="26" fillId="0" borderId="20" xfId="0" applyFont="1" applyBorder="1" applyAlignment="1">
      <alignment horizontal="left" vertical="top"/>
    </xf>
    <xf numFmtId="0" fontId="26" fillId="0" borderId="21" xfId="0" applyFont="1" applyBorder="1" applyAlignment="1">
      <alignment horizontal="left" vertical="top"/>
    </xf>
    <xf numFmtId="0" fontId="26" fillId="6" borderId="20" xfId="0" applyFont="1" applyFill="1" applyBorder="1" applyAlignment="1">
      <alignment horizontal="center" vertical="top"/>
    </xf>
    <xf numFmtId="0" fontId="26" fillId="6" borderId="15" xfId="0" applyFont="1" applyFill="1" applyBorder="1" applyAlignment="1">
      <alignment horizontal="center" vertical="top"/>
    </xf>
    <xf numFmtId="0" fontId="26" fillId="6" borderId="21" xfId="0" applyFont="1" applyFill="1" applyBorder="1" applyAlignment="1">
      <alignment horizontal="center" vertical="top"/>
    </xf>
    <xf numFmtId="0" fontId="26" fillId="0" borderId="60" xfId="0" applyFont="1" applyBorder="1" applyAlignment="1">
      <alignment horizontal="left" vertical="top"/>
    </xf>
    <xf numFmtId="0" fontId="26" fillId="6" borderId="36" xfId="0" applyFont="1" applyFill="1" applyBorder="1" applyAlignment="1">
      <alignment horizontal="center" vertical="top"/>
    </xf>
    <xf numFmtId="0" fontId="26" fillId="0" borderId="33" xfId="0" applyFont="1" applyBorder="1" applyAlignment="1">
      <alignment horizontal="left" vertical="top"/>
    </xf>
    <xf numFmtId="0" fontId="26" fillId="0" borderId="32" xfId="0" applyFont="1" applyBorder="1" applyAlignment="1">
      <alignment horizontal="left" vertical="top"/>
    </xf>
    <xf numFmtId="0" fontId="26" fillId="6" borderId="37" xfId="0" applyFont="1" applyFill="1" applyBorder="1" applyAlignment="1">
      <alignment horizontal="center" vertical="top"/>
    </xf>
    <xf numFmtId="0" fontId="26" fillId="0" borderId="37" xfId="0" applyFont="1" applyBorder="1" applyAlignment="1">
      <alignment horizontal="left" vertical="center"/>
    </xf>
    <xf numFmtId="0" fontId="26" fillId="0" borderId="52" xfId="0" applyFont="1" applyBorder="1" applyAlignment="1">
      <alignment horizontal="left" vertical="center"/>
    </xf>
    <xf numFmtId="0" fontId="26" fillId="0" borderId="60" xfId="0" applyFont="1" applyBorder="1" applyAlignment="1">
      <alignment horizontal="left" vertical="center"/>
    </xf>
    <xf numFmtId="0" fontId="32" fillId="6" borderId="37" xfId="0" applyFont="1" applyFill="1" applyBorder="1" applyAlignment="1">
      <alignment horizontal="center" vertical="top"/>
    </xf>
    <xf numFmtId="0" fontId="26" fillId="0" borderId="54" xfId="0" applyFont="1" applyBorder="1" applyAlignment="1">
      <alignment horizontal="left" vertical="top"/>
    </xf>
    <xf numFmtId="0" fontId="26" fillId="0" borderId="68" xfId="0" applyFont="1" applyBorder="1" applyAlignment="1">
      <alignment horizontal="left" vertical="top"/>
    </xf>
    <xf numFmtId="0" fontId="26" fillId="0" borderId="73" xfId="0" applyFont="1" applyBorder="1" applyAlignment="1">
      <alignment horizontal="left" vertical="top"/>
    </xf>
    <xf numFmtId="0" fontId="26" fillId="0" borderId="74" xfId="0" applyFont="1" applyBorder="1" applyAlignment="1">
      <alignment horizontal="left" vertical="top"/>
    </xf>
    <xf numFmtId="0" fontId="26" fillId="6" borderId="33" xfId="0" applyFont="1" applyFill="1" applyBorder="1" applyAlignment="1">
      <alignment horizontal="center" vertical="top"/>
    </xf>
    <xf numFmtId="0" fontId="26" fillId="6" borderId="19" xfId="0" applyFont="1" applyFill="1" applyBorder="1" applyAlignment="1">
      <alignment horizontal="center" vertical="top"/>
    </xf>
    <xf numFmtId="0" fontId="26" fillId="6" borderId="70" xfId="0" applyFont="1" applyFill="1" applyBorder="1" applyAlignment="1">
      <alignment horizontal="center" vertical="top"/>
    </xf>
    <xf numFmtId="0" fontId="26" fillId="6" borderId="65" xfId="0" applyFont="1" applyFill="1" applyBorder="1" applyAlignment="1">
      <alignment horizontal="center" vertical="top"/>
    </xf>
    <xf numFmtId="0" fontId="0" fillId="0" borderId="59" xfId="0" applyBorder="1" applyAlignment="1" applyProtection="1">
      <alignment horizontal="left" vertical="top"/>
      <protection locked="0"/>
    </xf>
    <xf numFmtId="0" fontId="0" fillId="0" borderId="66" xfId="0" applyBorder="1" applyAlignment="1" applyProtection="1">
      <alignment horizontal="left" vertical="top"/>
      <protection locked="0"/>
    </xf>
    <xf numFmtId="0" fontId="0" fillId="0" borderId="46" xfId="0" applyBorder="1" applyAlignment="1" applyProtection="1">
      <alignment horizontal="left" vertical="top"/>
      <protection locked="0"/>
    </xf>
    <xf numFmtId="0" fontId="26" fillId="0" borderId="50" xfId="0" applyFont="1" applyBorder="1" applyAlignment="1">
      <alignment horizontal="center" vertical="center" wrapText="1"/>
    </xf>
    <xf numFmtId="0" fontId="26" fillId="0" borderId="61" xfId="0" applyFont="1" applyBorder="1" applyAlignment="1">
      <alignment horizontal="center" vertical="center" wrapText="1"/>
    </xf>
    <xf numFmtId="0" fontId="26" fillId="0" borderId="63" xfId="0" applyFont="1" applyBorder="1" applyAlignment="1">
      <alignment horizontal="center" vertical="center" wrapText="1"/>
    </xf>
    <xf numFmtId="0" fontId="26" fillId="0" borderId="0" xfId="0" applyFont="1" applyAlignment="1">
      <alignment horizontal="center" vertical="center" wrapText="1"/>
    </xf>
    <xf numFmtId="0" fontId="26" fillId="0" borderId="20" xfId="0" applyFont="1" applyBorder="1" applyAlignment="1">
      <alignment horizontal="center" vertical="center" wrapText="1"/>
    </xf>
    <xf numFmtId="0" fontId="26" fillId="0" borderId="21" xfId="0" applyFont="1" applyBorder="1" applyAlignment="1">
      <alignment horizontal="center" vertical="center" wrapText="1"/>
    </xf>
    <xf numFmtId="0" fontId="28" fillId="2" borderId="20" xfId="0" applyFont="1" applyFill="1" applyBorder="1" applyAlignment="1" applyProtection="1">
      <alignment horizontal="center" vertical="center" wrapText="1"/>
      <protection locked="0"/>
    </xf>
    <xf numFmtId="0" fontId="28" fillId="2" borderId="21" xfId="0" applyFont="1" applyFill="1" applyBorder="1" applyAlignment="1" applyProtection="1">
      <alignment horizontal="center" vertical="center" wrapText="1"/>
      <protection locked="0"/>
    </xf>
    <xf numFmtId="0" fontId="28" fillId="2" borderId="33" xfId="0" applyFont="1" applyFill="1" applyBorder="1" applyAlignment="1" applyProtection="1">
      <alignment horizontal="center" vertical="center" wrapText="1"/>
      <protection locked="0"/>
    </xf>
    <xf numFmtId="0" fontId="28" fillId="2" borderId="32" xfId="0" applyFont="1" applyFill="1" applyBorder="1" applyAlignment="1" applyProtection="1">
      <alignment horizontal="center" vertical="center" wrapText="1"/>
      <protection locked="0"/>
    </xf>
    <xf numFmtId="0" fontId="26" fillId="6" borderId="26" xfId="0" applyFont="1" applyFill="1" applyBorder="1" applyAlignment="1">
      <alignment horizontal="center" vertical="top"/>
    </xf>
    <xf numFmtId="0" fontId="26" fillId="0" borderId="66" xfId="0" applyFont="1" applyBorder="1" applyAlignment="1">
      <alignment horizontal="left" vertical="center"/>
    </xf>
    <xf numFmtId="0" fontId="27" fillId="0" borderId="56" xfId="0" applyFont="1" applyBorder="1" applyAlignment="1">
      <alignment horizontal="justify" vertical="center" wrapText="1"/>
    </xf>
    <xf numFmtId="0" fontId="27" fillId="0" borderId="19" xfId="0" applyFont="1" applyBorder="1" applyAlignment="1">
      <alignment horizontal="justify" vertical="center" wrapText="1"/>
    </xf>
    <xf numFmtId="0" fontId="27" fillId="0" borderId="63" xfId="0" applyFont="1" applyBorder="1" applyAlignment="1">
      <alignment horizontal="justify" vertical="center" wrapText="1"/>
    </xf>
    <xf numFmtId="0" fontId="27" fillId="0" borderId="0" xfId="0" applyFont="1" applyAlignment="1">
      <alignment horizontal="justify" vertical="center" wrapText="1"/>
    </xf>
    <xf numFmtId="0" fontId="27" fillId="0" borderId="33" xfId="0" applyFont="1" applyBorder="1" applyAlignment="1">
      <alignment horizontal="justify" vertical="center" wrapText="1"/>
    </xf>
    <xf numFmtId="0" fontId="27" fillId="0" borderId="32" xfId="0" applyFont="1" applyBorder="1" applyAlignment="1">
      <alignment horizontal="justify" vertical="center" wrapText="1"/>
    </xf>
    <xf numFmtId="0" fontId="27" fillId="0" borderId="62" xfId="0" applyFont="1" applyBorder="1" applyAlignment="1">
      <alignment horizontal="justify" vertical="center" wrapText="1"/>
    </xf>
    <xf numFmtId="0" fontId="27" fillId="0" borderId="53" xfId="0" applyFont="1" applyBorder="1" applyAlignment="1">
      <alignment horizontal="justify" vertical="center" wrapText="1"/>
    </xf>
    <xf numFmtId="0" fontId="8" fillId="0" borderId="20" xfId="0" applyFont="1" applyBorder="1" applyAlignment="1">
      <alignment horizontal="left" vertical="center"/>
    </xf>
    <xf numFmtId="0" fontId="8" fillId="0" borderId="21" xfId="0" applyFont="1" applyBorder="1" applyAlignment="1">
      <alignment horizontal="left" vertical="center"/>
    </xf>
    <xf numFmtId="0" fontId="0" fillId="0" borderId="20"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54" xfId="0" applyBorder="1" applyAlignment="1" applyProtection="1">
      <alignment horizontal="left" vertical="top"/>
      <protection locked="0"/>
    </xf>
    <xf numFmtId="0" fontId="0" fillId="0" borderId="75" xfId="0" applyBorder="1" applyAlignment="1" applyProtection="1">
      <alignment horizontal="left" vertical="top"/>
      <protection locked="0"/>
    </xf>
    <xf numFmtId="0" fontId="0" fillId="0" borderId="68" xfId="0" applyBorder="1" applyAlignment="1" applyProtection="1">
      <alignment horizontal="left" vertical="top"/>
      <protection locked="0"/>
    </xf>
    <xf numFmtId="0" fontId="26" fillId="0" borderId="49"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58" xfId="0" applyFont="1" applyBorder="1" applyAlignment="1">
      <alignment horizontal="center" vertical="center" wrapText="1"/>
    </xf>
    <xf numFmtId="0" fontId="0" fillId="0" borderId="49" xfId="0" applyBorder="1" applyAlignment="1" applyProtection="1">
      <alignment horizontal="left" vertical="center"/>
      <protection locked="0"/>
    </xf>
    <xf numFmtId="0" fontId="0" fillId="0" borderId="57" xfId="0" applyBorder="1" applyAlignment="1" applyProtection="1">
      <alignment horizontal="left" vertical="center"/>
      <protection locked="0"/>
    </xf>
    <xf numFmtId="0" fontId="0" fillId="0" borderId="58" xfId="0" applyBorder="1" applyAlignment="1" applyProtection="1">
      <alignment horizontal="left" vertical="center"/>
      <protection locked="0"/>
    </xf>
    <xf numFmtId="0" fontId="0" fillId="0" borderId="67" xfId="0" applyBorder="1" applyAlignment="1" applyProtection="1">
      <alignment horizontal="left" vertical="top"/>
      <protection locked="0"/>
    </xf>
    <xf numFmtId="0" fontId="0" fillId="0" borderId="64" xfId="0" applyBorder="1" applyAlignment="1" applyProtection="1">
      <alignment horizontal="left" vertical="center"/>
      <protection locked="0"/>
    </xf>
    <xf numFmtId="0" fontId="0" fillId="0" borderId="70" xfId="0" applyBorder="1" applyAlignment="1" applyProtection="1">
      <alignment horizontal="left" vertical="center"/>
      <protection locked="0"/>
    </xf>
    <xf numFmtId="0" fontId="0" fillId="0" borderId="71" xfId="0" applyBorder="1" applyAlignment="1" applyProtection="1">
      <alignment horizontal="left" vertical="center"/>
      <protection locked="0"/>
    </xf>
    <xf numFmtId="0" fontId="27" fillId="0" borderId="50" xfId="0" applyFont="1" applyBorder="1" applyAlignment="1">
      <alignment horizontal="justify" vertical="center" wrapText="1"/>
    </xf>
    <xf numFmtId="0" fontId="27" fillId="0" borderId="61" xfId="0" applyFont="1" applyBorder="1" applyAlignment="1">
      <alignment horizontal="justify" vertical="center" wrapText="1"/>
    </xf>
    <xf numFmtId="0" fontId="26" fillId="6" borderId="50" xfId="0" applyFont="1" applyFill="1" applyBorder="1" applyAlignment="1">
      <alignment horizontal="center" vertical="top"/>
    </xf>
    <xf numFmtId="0" fontId="26" fillId="6" borderId="61" xfId="0" applyFont="1" applyFill="1" applyBorder="1" applyAlignment="1">
      <alignment horizontal="center" vertical="top"/>
    </xf>
    <xf numFmtId="0" fontId="26" fillId="6" borderId="72" xfId="0" applyFont="1" applyFill="1" applyBorder="1" applyAlignment="1">
      <alignment horizontal="center" vertical="top"/>
    </xf>
    <xf numFmtId="0" fontId="26" fillId="0" borderId="56" xfId="0" applyFont="1" applyBorder="1" applyAlignment="1">
      <alignment horizontal="center" vertical="center"/>
    </xf>
    <xf numFmtId="0" fontId="26" fillId="0" borderId="19" xfId="0" applyFont="1" applyBorder="1" applyAlignment="1">
      <alignment horizontal="center" vertical="center"/>
    </xf>
    <xf numFmtId="0" fontId="26" fillId="0" borderId="49" xfId="0" applyFont="1" applyBorder="1" applyAlignment="1">
      <alignment horizontal="center" vertical="center"/>
    </xf>
    <xf numFmtId="0" fontId="26" fillId="0" borderId="57" xfId="0" applyFont="1" applyBorder="1" applyAlignment="1">
      <alignment horizontal="center" vertical="center"/>
    </xf>
    <xf numFmtId="0" fontId="26" fillId="0" borderId="46" xfId="0" applyFont="1" applyBorder="1" applyAlignment="1">
      <alignment horizontal="center" vertical="center" wrapText="1"/>
    </xf>
    <xf numFmtId="0" fontId="26" fillId="0" borderId="60" xfId="0" applyFont="1" applyBorder="1" applyAlignment="1">
      <alignment horizontal="center" vertical="center" wrapText="1"/>
    </xf>
    <xf numFmtId="0" fontId="34" fillId="0" borderId="46" xfId="4" applyBorder="1" applyAlignment="1" applyProtection="1">
      <alignment horizontal="left" vertical="top"/>
      <protection locked="0"/>
    </xf>
    <xf numFmtId="0" fontId="14" fillId="0" borderId="20" xfId="0" applyFont="1" applyBorder="1" applyAlignment="1">
      <alignment horizontal="left" vertical="center" wrapText="1"/>
    </xf>
    <xf numFmtId="0" fontId="14" fillId="0" borderId="21" xfId="0" applyFont="1" applyBorder="1" applyAlignment="1">
      <alignment horizontal="left" vertical="center" wrapText="1"/>
    </xf>
    <xf numFmtId="0" fontId="8" fillId="4" borderId="20"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21" xfId="0" applyFont="1" applyFill="1" applyBorder="1" applyAlignment="1">
      <alignment horizontal="center" vertical="center"/>
    </xf>
    <xf numFmtId="0" fontId="21" fillId="4" borderId="2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21" xfId="0" applyFont="1" applyFill="1" applyBorder="1" applyAlignment="1">
      <alignment horizontal="center" vertical="center"/>
    </xf>
    <xf numFmtId="0" fontId="14" fillId="0" borderId="21" xfId="0" applyFont="1" applyBorder="1" applyAlignment="1">
      <alignment horizontal="left" wrapText="1"/>
    </xf>
    <xf numFmtId="0" fontId="14" fillId="0" borderId="37" xfId="0" applyFont="1" applyBorder="1" applyAlignment="1">
      <alignment horizontal="left" wrapText="1"/>
    </xf>
    <xf numFmtId="0" fontId="14" fillId="0" borderId="20" xfId="0" applyFont="1" applyBorder="1" applyAlignment="1">
      <alignment horizontal="left" wrapText="1"/>
    </xf>
    <xf numFmtId="0" fontId="14" fillId="0" borderId="15" xfId="0" applyFont="1" applyBorder="1" applyAlignment="1">
      <alignment horizontal="left" wrapText="1"/>
    </xf>
    <xf numFmtId="0" fontId="14" fillId="0" borderId="20" xfId="0" applyFont="1" applyBorder="1" applyAlignment="1">
      <alignment vertical="center" wrapText="1"/>
    </xf>
    <xf numFmtId="0" fontId="14" fillId="0" borderId="15" xfId="0" applyFont="1" applyBorder="1" applyAlignment="1">
      <alignment vertical="center" wrapText="1"/>
    </xf>
    <xf numFmtId="0" fontId="14" fillId="0" borderId="21" xfId="0" applyFont="1" applyBorder="1" applyAlignment="1">
      <alignment vertical="center" wrapText="1"/>
    </xf>
    <xf numFmtId="0" fontId="30" fillId="4" borderId="20" xfId="0" applyFont="1" applyFill="1" applyBorder="1" applyAlignment="1">
      <alignment horizontal="center" vertical="center"/>
    </xf>
    <xf numFmtId="0" fontId="30" fillId="4" borderId="15" xfId="0" applyFont="1" applyFill="1" applyBorder="1" applyAlignment="1">
      <alignment horizontal="center" vertical="center"/>
    </xf>
    <xf numFmtId="0" fontId="30" fillId="4" borderId="21" xfId="0" applyFont="1" applyFill="1" applyBorder="1" applyAlignment="1">
      <alignment horizontal="center" vertical="center"/>
    </xf>
    <xf numFmtId="0" fontId="14" fillId="0" borderId="15" xfId="0" applyFont="1" applyBorder="1" applyAlignment="1">
      <alignment horizontal="left" vertical="center" wrapText="1"/>
    </xf>
    <xf numFmtId="0" fontId="0" fillId="0" borderId="52" xfId="0" applyBorder="1" applyAlignment="1" applyProtection="1">
      <alignment horizontal="left" vertical="top"/>
      <protection locked="0"/>
    </xf>
    <xf numFmtId="0" fontId="30" fillId="7" borderId="37" xfId="0" applyFont="1" applyFill="1" applyBorder="1" applyAlignment="1">
      <alignment horizontal="center" vertical="center" wrapText="1"/>
    </xf>
    <xf numFmtId="9" fontId="0" fillId="8" borderId="37" xfId="0" applyNumberFormat="1" applyFill="1" applyBorder="1" applyAlignment="1">
      <alignment horizontal="center" vertical="center" wrapText="1"/>
    </xf>
    <xf numFmtId="0" fontId="33" fillId="7" borderId="37" xfId="0" applyFont="1" applyFill="1" applyBorder="1" applyAlignment="1">
      <alignment horizontal="center" wrapText="1"/>
    </xf>
    <xf numFmtId="0" fontId="0" fillId="0" borderId="20"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0" fillId="0" borderId="21" xfId="0" applyBorder="1" applyAlignment="1" applyProtection="1">
      <alignment horizontal="left" vertical="center"/>
      <protection locked="0"/>
    </xf>
    <xf numFmtId="0" fontId="0" fillId="0" borderId="20"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0" fontId="33" fillId="7" borderId="20" xfId="0" applyFont="1" applyFill="1" applyBorder="1" applyAlignment="1">
      <alignment horizontal="center" wrapText="1"/>
    </xf>
    <xf numFmtId="0" fontId="33" fillId="7" borderId="15" xfId="0" applyFont="1" applyFill="1" applyBorder="1" applyAlignment="1">
      <alignment horizontal="center" wrapText="1"/>
    </xf>
    <xf numFmtId="0" fontId="33" fillId="7" borderId="21" xfId="0" applyFont="1" applyFill="1" applyBorder="1" applyAlignment="1">
      <alignment horizontal="center" wrapText="1"/>
    </xf>
    <xf numFmtId="0" fontId="0" fillId="0" borderId="59" xfId="0" applyBorder="1" applyAlignment="1" applyProtection="1">
      <alignment horizontal="left" vertical="center"/>
      <protection locked="0"/>
    </xf>
    <xf numFmtId="0" fontId="0" fillId="0" borderId="66" xfId="0" applyBorder="1" applyAlignment="1" applyProtection="1">
      <alignment horizontal="left" vertical="center"/>
      <protection locked="0"/>
    </xf>
    <xf numFmtId="0" fontId="26" fillId="6" borderId="46" xfId="0" applyFont="1" applyFill="1" applyBorder="1" applyAlignment="1">
      <alignment horizontal="center" vertical="top"/>
    </xf>
    <xf numFmtId="0" fontId="26" fillId="6" borderId="59" xfId="0" applyFont="1" applyFill="1" applyBorder="1" applyAlignment="1">
      <alignment horizontal="center" vertical="top"/>
    </xf>
    <xf numFmtId="0" fontId="26" fillId="6" borderId="60" xfId="0" applyFont="1" applyFill="1" applyBorder="1" applyAlignment="1">
      <alignment horizontal="center" vertical="top"/>
    </xf>
    <xf numFmtId="0" fontId="26" fillId="0" borderId="37" xfId="0" applyFont="1" applyBorder="1" applyAlignment="1">
      <alignment horizontal="center" vertical="center" wrapText="1"/>
    </xf>
    <xf numFmtId="0" fontId="30" fillId="7" borderId="37" xfId="0" applyFont="1" applyFill="1" applyBorder="1" applyAlignment="1">
      <alignment horizontal="center" wrapText="1"/>
    </xf>
    <xf numFmtId="0" fontId="26" fillId="0" borderId="56" xfId="0" applyFont="1" applyBorder="1" applyAlignment="1">
      <alignment horizontal="left" vertical="top"/>
    </xf>
    <xf numFmtId="0" fontId="26" fillId="0" borderId="76" xfId="0" applyFont="1" applyBorder="1" applyAlignment="1">
      <alignment horizontal="left" vertical="top"/>
    </xf>
    <xf numFmtId="0" fontId="30" fillId="9" borderId="34" xfId="0" applyFont="1" applyFill="1" applyBorder="1" applyAlignment="1">
      <alignment horizontal="center" vertical="center"/>
    </xf>
    <xf numFmtId="0" fontId="30" fillId="9" borderId="14" xfId="0" applyFont="1" applyFill="1" applyBorder="1" applyAlignment="1">
      <alignment horizontal="center" vertical="center"/>
    </xf>
    <xf numFmtId="0" fontId="21" fillId="4" borderId="33" xfId="0" applyFont="1" applyFill="1" applyBorder="1" applyAlignment="1">
      <alignment horizontal="center" vertical="center"/>
    </xf>
    <xf numFmtId="0" fontId="8" fillId="4" borderId="33" xfId="0" applyFont="1" applyFill="1" applyBorder="1" applyAlignment="1">
      <alignment horizontal="center" vertical="center"/>
    </xf>
    <xf numFmtId="0" fontId="0" fillId="0" borderId="45" xfId="0" applyBorder="1" applyAlignment="1" applyProtection="1">
      <alignment horizontal="left" vertical="center"/>
      <protection locked="0"/>
    </xf>
    <xf numFmtId="0" fontId="8" fillId="0" borderId="0" xfId="0" applyFont="1" applyAlignment="1">
      <alignment horizontal="right"/>
    </xf>
    <xf numFmtId="0" fontId="8" fillId="5" borderId="20" xfId="0" applyFont="1" applyFill="1" applyBorder="1" applyAlignment="1">
      <alignment horizontal="center" vertical="center"/>
    </xf>
    <xf numFmtId="0" fontId="8" fillId="5" borderId="15" xfId="0" applyFont="1" applyFill="1" applyBorder="1" applyAlignment="1">
      <alignment horizontal="center" vertical="center"/>
    </xf>
    <xf numFmtId="0" fontId="8" fillId="5" borderId="21" xfId="0" applyFont="1" applyFill="1" applyBorder="1" applyAlignment="1">
      <alignment horizontal="center" vertical="center"/>
    </xf>
    <xf numFmtId="0" fontId="24" fillId="5" borderId="83" xfId="0" applyFont="1" applyFill="1" applyBorder="1" applyAlignment="1">
      <alignment horizontal="center" vertical="center"/>
    </xf>
    <xf numFmtId="0" fontId="24" fillId="5" borderId="24" xfId="0" applyFont="1" applyFill="1" applyBorder="1" applyAlignment="1">
      <alignment horizontal="center" vertical="center"/>
    </xf>
    <xf numFmtId="1" fontId="36" fillId="8" borderId="40" xfId="0" applyNumberFormat="1" applyFont="1" applyFill="1" applyBorder="1" applyAlignment="1">
      <alignment horizontal="center" vertical="center" wrapText="1"/>
    </xf>
    <xf numFmtId="1" fontId="36" fillId="8" borderId="42" xfId="0" applyNumberFormat="1" applyFont="1" applyFill="1" applyBorder="1" applyAlignment="1">
      <alignment horizontal="center" vertical="center" wrapText="1"/>
    </xf>
    <xf numFmtId="0" fontId="24" fillId="5" borderId="22" xfId="0" applyFont="1" applyFill="1" applyBorder="1" applyAlignment="1">
      <alignment horizontal="center" vertical="center"/>
    </xf>
    <xf numFmtId="0" fontId="24" fillId="5" borderId="82" xfId="0" applyFont="1" applyFill="1" applyBorder="1" applyAlignment="1">
      <alignment horizontal="center" vertical="center"/>
    </xf>
    <xf numFmtId="0" fontId="36" fillId="8" borderId="43" xfId="0" applyFont="1" applyFill="1" applyBorder="1" applyAlignment="1">
      <alignment horizontal="center" vertical="center" wrapText="1"/>
    </xf>
    <xf numFmtId="0" fontId="36" fillId="8" borderId="44" xfId="0" applyFont="1" applyFill="1" applyBorder="1" applyAlignment="1">
      <alignment horizontal="center" vertical="center" wrapText="1"/>
    </xf>
    <xf numFmtId="0" fontId="21" fillId="5" borderId="37" xfId="0" applyFont="1" applyFill="1" applyBorder="1" applyAlignment="1">
      <alignment horizontal="center" vertical="center"/>
    </xf>
    <xf numFmtId="0" fontId="8" fillId="13" borderId="15" xfId="0" applyFont="1" applyFill="1" applyBorder="1" applyAlignment="1">
      <alignment horizontal="center" vertical="center"/>
    </xf>
    <xf numFmtId="0" fontId="8" fillId="13" borderId="21" xfId="0" applyFont="1" applyFill="1" applyBorder="1" applyAlignment="1">
      <alignment horizontal="center" vertical="center"/>
    </xf>
    <xf numFmtId="0" fontId="8" fillId="14" borderId="15" xfId="0" applyFont="1" applyFill="1" applyBorder="1" applyAlignment="1">
      <alignment horizontal="center" vertical="center"/>
    </xf>
    <xf numFmtId="0" fontId="8" fillId="14" borderId="21" xfId="0" applyFont="1" applyFill="1" applyBorder="1" applyAlignment="1">
      <alignment horizontal="center" vertical="center"/>
    </xf>
    <xf numFmtId="0" fontId="8" fillId="15" borderId="15" xfId="0" applyFont="1" applyFill="1" applyBorder="1" applyAlignment="1">
      <alignment horizontal="center" vertical="center"/>
    </xf>
    <xf numFmtId="0" fontId="8" fillId="15" borderId="21" xfId="0" applyFont="1" applyFill="1" applyBorder="1" applyAlignment="1">
      <alignment horizontal="center" vertical="center"/>
    </xf>
    <xf numFmtId="0" fontId="8" fillId="16" borderId="15" xfId="0" applyFont="1" applyFill="1" applyBorder="1" applyAlignment="1">
      <alignment horizontal="center" vertical="center"/>
    </xf>
    <xf numFmtId="0" fontId="8" fillId="16" borderId="21" xfId="0" applyFont="1" applyFill="1" applyBorder="1" applyAlignment="1">
      <alignment horizontal="center" vertical="center"/>
    </xf>
    <xf numFmtId="0" fontId="8" fillId="17" borderId="15" xfId="0" applyFont="1" applyFill="1" applyBorder="1" applyAlignment="1">
      <alignment horizontal="center" vertical="center"/>
    </xf>
    <xf numFmtId="0" fontId="8" fillId="17" borderId="21" xfId="0" applyFont="1" applyFill="1" applyBorder="1" applyAlignment="1">
      <alignment horizontal="center" vertical="center"/>
    </xf>
    <xf numFmtId="0" fontId="10" fillId="0" borderId="89" xfId="0" applyFont="1" applyBorder="1" applyAlignment="1">
      <alignment horizontal="left" vertical="center" wrapText="1"/>
    </xf>
    <xf numFmtId="0" fontId="10" fillId="0" borderId="87" xfId="0" applyFont="1" applyBorder="1" applyAlignment="1">
      <alignment horizontal="left" vertical="center" wrapText="1"/>
    </xf>
    <xf numFmtId="0" fontId="10" fillId="0" borderId="88" xfId="0" applyFont="1" applyBorder="1" applyAlignment="1">
      <alignment horizontal="left" vertical="center" wrapText="1"/>
    </xf>
    <xf numFmtId="0" fontId="10" fillId="0" borderId="96" xfId="0" applyFont="1" applyBorder="1" applyAlignment="1">
      <alignment horizontal="center" vertical="center"/>
    </xf>
    <xf numFmtId="0" fontId="10" fillId="0" borderId="99" xfId="0" applyFont="1" applyBorder="1" applyAlignment="1">
      <alignment horizontal="center" vertical="center"/>
    </xf>
    <xf numFmtId="0" fontId="35" fillId="18" borderId="84" xfId="0" applyFont="1" applyFill="1" applyBorder="1" applyAlignment="1">
      <alignment horizontal="center" vertical="center"/>
    </xf>
    <xf numFmtId="0" fontId="10" fillId="0" borderId="84" xfId="0" applyFont="1" applyBorder="1" applyAlignment="1">
      <alignment horizontal="left" vertical="top" wrapText="1"/>
    </xf>
    <xf numFmtId="0" fontId="10" fillId="0" borderId="84" xfId="0" applyFont="1" applyBorder="1" applyAlignment="1">
      <alignment horizontal="center" vertical="center" wrapText="1"/>
    </xf>
    <xf numFmtId="0" fontId="10" fillId="0" borderId="84" xfId="0" applyFont="1" applyBorder="1" applyAlignment="1">
      <alignment horizontal="center" vertical="center"/>
    </xf>
    <xf numFmtId="0" fontId="10" fillId="0" borderId="84" xfId="0" applyFont="1" applyBorder="1" applyAlignment="1">
      <alignment vertical="center"/>
    </xf>
    <xf numFmtId="165" fontId="10" fillId="0" borderId="84" xfId="0" applyNumberFormat="1" applyFont="1" applyBorder="1" applyAlignment="1">
      <alignment horizontal="left" vertical="center"/>
    </xf>
    <xf numFmtId="0" fontId="10" fillId="0" borderId="84" xfId="0" applyFont="1" applyBorder="1" applyAlignment="1">
      <alignment horizontal="left" vertical="center"/>
    </xf>
    <xf numFmtId="0" fontId="10" fillId="0" borderId="84" xfId="0" applyFont="1" applyBorder="1" applyAlignment="1">
      <alignment horizontal="center" vertical="top"/>
    </xf>
    <xf numFmtId="0" fontId="10" fillId="0" borderId="84" xfId="0" applyFont="1" applyBorder="1" applyAlignment="1">
      <alignment vertical="center" wrapText="1"/>
    </xf>
    <xf numFmtId="0" fontId="10" fillId="0" borderId="84" xfId="0" applyFont="1" applyBorder="1" applyAlignment="1">
      <alignment horizontal="center" wrapText="1"/>
    </xf>
    <xf numFmtId="0" fontId="40" fillId="0" borderId="84" xfId="0" applyFont="1" applyBorder="1" applyAlignment="1">
      <alignment horizontal="center" vertical="center" wrapText="1"/>
    </xf>
    <xf numFmtId="0" fontId="10" fillId="0" borderId="98" xfId="0" applyFont="1" applyBorder="1" applyAlignment="1">
      <alignment horizontal="center" vertical="center" wrapText="1"/>
    </xf>
    <xf numFmtId="14" fontId="10" fillId="0" borderId="84" xfId="0" applyNumberFormat="1" applyFont="1" applyBorder="1" applyAlignment="1">
      <alignment vertical="center"/>
    </xf>
    <xf numFmtId="0" fontId="0" fillId="0" borderId="84" xfId="0" applyBorder="1" applyAlignment="1">
      <alignment horizontal="center" vertical="center"/>
    </xf>
    <xf numFmtId="0" fontId="40" fillId="0" borderId="84" xfId="0" applyFont="1" applyBorder="1" applyAlignment="1">
      <alignment horizontal="left" vertical="center" wrapText="1"/>
    </xf>
    <xf numFmtId="0" fontId="35" fillId="19" borderId="84" xfId="0" applyFont="1" applyFill="1" applyBorder="1" applyAlignment="1">
      <alignment horizontal="center" vertical="center"/>
    </xf>
    <xf numFmtId="0" fontId="10" fillId="0" borderId="0" xfId="0" applyFont="1" applyAlignment="1">
      <alignment horizontal="left"/>
    </xf>
    <xf numFmtId="0" fontId="11" fillId="0" borderId="0" xfId="0" applyFont="1" applyAlignment="1">
      <alignment horizontal="left"/>
    </xf>
    <xf numFmtId="0" fontId="10" fillId="0" borderId="0" xfId="0" applyFont="1" applyAlignment="1">
      <alignment horizontal="center"/>
    </xf>
    <xf numFmtId="0" fontId="10" fillId="0" borderId="107" xfId="0" applyFont="1" applyBorder="1" applyAlignment="1">
      <alignment horizontal="left" vertical="center"/>
    </xf>
    <xf numFmtId="0" fontId="10" fillId="0" borderId="84" xfId="0" applyFont="1" applyBorder="1" applyAlignment="1">
      <alignment horizontal="left" vertical="center" wrapText="1"/>
    </xf>
    <xf numFmtId="0" fontId="0" fillId="0" borderId="84" xfId="0" applyBorder="1" applyAlignment="1">
      <alignment horizontal="left"/>
    </xf>
    <xf numFmtId="0" fontId="10" fillId="0" borderId="98" xfId="0" applyFont="1" applyBorder="1" applyAlignment="1">
      <alignment horizontal="left" vertical="center"/>
    </xf>
    <xf numFmtId="0" fontId="10" fillId="0" borderId="89" xfId="0" applyFont="1" applyBorder="1" applyAlignment="1">
      <alignment horizontal="center" vertical="center"/>
    </xf>
    <xf numFmtId="0" fontId="10" fillId="0" borderId="87" xfId="0" applyFont="1" applyBorder="1" applyAlignment="1">
      <alignment horizontal="center" vertical="center"/>
    </xf>
    <xf numFmtId="0" fontId="10" fillId="0" borderId="88" xfId="0" applyFont="1" applyBorder="1" applyAlignment="1">
      <alignment horizontal="center" vertical="center"/>
    </xf>
    <xf numFmtId="0" fontId="10" fillId="0" borderId="96" xfId="0" applyFont="1" applyBorder="1" applyAlignment="1">
      <alignment horizontal="left" vertical="center" wrapText="1"/>
    </xf>
    <xf numFmtId="0" fontId="10" fillId="0" borderId="84" xfId="0" applyFont="1" applyBorder="1" applyAlignment="1">
      <alignment horizontal="center" vertical="justify" wrapText="1"/>
    </xf>
    <xf numFmtId="0" fontId="10" fillId="0" borderId="84" xfId="0" applyFont="1" applyBorder="1" applyAlignment="1">
      <alignment horizontal="left" vertical="top"/>
    </xf>
    <xf numFmtId="0" fontId="10" fillId="0" borderId="99" xfId="0" applyFont="1" applyBorder="1" applyAlignment="1">
      <alignment horizontal="center" vertical="center" wrapText="1"/>
    </xf>
    <xf numFmtId="0" fontId="10" fillId="0" borderId="89" xfId="0" applyFont="1" applyBorder="1" applyAlignment="1">
      <alignment horizontal="center" vertical="center" wrapText="1"/>
    </xf>
    <xf numFmtId="0" fontId="10" fillId="0" borderId="87" xfId="0" applyFont="1" applyBorder="1" applyAlignment="1">
      <alignment horizontal="center" vertical="center" wrapText="1"/>
    </xf>
    <xf numFmtId="0" fontId="10" fillId="0" borderId="88" xfId="0" applyFont="1" applyBorder="1" applyAlignment="1">
      <alignment horizontal="center" vertical="center" wrapText="1"/>
    </xf>
    <xf numFmtId="0" fontId="10" fillId="0" borderId="89" xfId="0" applyFont="1" applyBorder="1" applyAlignment="1">
      <alignment horizontal="center" vertical="justify" wrapText="1"/>
    </xf>
    <xf numFmtId="0" fontId="10" fillId="0" borderId="88" xfId="0" applyFont="1" applyBorder="1" applyAlignment="1">
      <alignment horizontal="center" vertical="justify" wrapText="1"/>
    </xf>
    <xf numFmtId="0" fontId="10" fillId="0" borderId="96" xfId="0" applyFont="1" applyBorder="1" applyAlignment="1">
      <alignment horizontal="left" vertical="top" wrapText="1"/>
    </xf>
    <xf numFmtId="0" fontId="10" fillId="0" borderId="97" xfId="0" applyFont="1" applyBorder="1" applyAlignment="1">
      <alignment horizontal="left" vertical="top" wrapText="1"/>
    </xf>
    <xf numFmtId="0" fontId="10" fillId="0" borderId="98" xfId="0" applyFont="1" applyBorder="1" applyAlignment="1">
      <alignment horizontal="left" vertical="top" wrapText="1"/>
    </xf>
    <xf numFmtId="0" fontId="10" fillId="0" borderId="89" xfId="0" applyFont="1" applyBorder="1" applyAlignment="1">
      <alignment horizontal="center" vertical="top" wrapText="1"/>
    </xf>
    <xf numFmtId="0" fontId="10" fillId="0" borderId="88" xfId="0" applyFont="1" applyBorder="1" applyAlignment="1">
      <alignment horizontal="center" vertical="top" wrapText="1"/>
    </xf>
    <xf numFmtId="0" fontId="10" fillId="0" borderId="100" xfId="0" applyFont="1" applyBorder="1" applyAlignment="1">
      <alignment horizontal="left" vertical="center" wrapText="1"/>
    </xf>
    <xf numFmtId="0" fontId="10" fillId="0" borderId="101" xfId="0" applyFont="1" applyBorder="1" applyAlignment="1">
      <alignment horizontal="left" vertical="center" wrapText="1"/>
    </xf>
    <xf numFmtId="0" fontId="10" fillId="0" borderId="102" xfId="0" applyFont="1" applyBorder="1" applyAlignment="1">
      <alignment horizontal="left" vertical="center" wrapText="1"/>
    </xf>
    <xf numFmtId="0" fontId="10" fillId="0" borderId="29" xfId="0" applyFont="1" applyBorder="1" applyAlignment="1">
      <alignment horizontal="left" vertical="center" wrapText="1"/>
    </xf>
    <xf numFmtId="0" fontId="10" fillId="0" borderId="19" xfId="0" applyFont="1" applyBorder="1" applyAlignment="1">
      <alignment horizontal="left" vertical="center" wrapText="1"/>
    </xf>
    <xf numFmtId="0" fontId="10" fillId="0" borderId="89" xfId="0" applyFont="1" applyBorder="1" applyAlignment="1">
      <alignment horizontal="left" vertical="center"/>
    </xf>
    <xf numFmtId="0" fontId="10" fillId="0" borderId="87" xfId="0" applyFont="1" applyBorder="1" applyAlignment="1">
      <alignment horizontal="left" vertical="center"/>
    </xf>
    <xf numFmtId="0" fontId="10" fillId="0" borderId="88" xfId="0" applyFont="1" applyBorder="1" applyAlignment="1">
      <alignment horizontal="left" vertical="center"/>
    </xf>
    <xf numFmtId="0" fontId="40" fillId="0" borderId="89" xfId="0" applyFont="1" applyBorder="1" applyAlignment="1">
      <alignment horizontal="center" vertical="center" wrapText="1"/>
    </xf>
    <xf numFmtId="0" fontId="40" fillId="0" borderId="88" xfId="0" applyFont="1" applyBorder="1" applyAlignment="1">
      <alignment horizontal="center" vertical="center" wrapText="1"/>
    </xf>
    <xf numFmtId="165" fontId="10" fillId="0" borderId="20" xfId="0" applyNumberFormat="1" applyFont="1" applyBorder="1" applyAlignment="1">
      <alignment horizontal="left" vertical="center"/>
    </xf>
    <xf numFmtId="165" fontId="10" fillId="0" borderId="15" xfId="0" applyNumberFormat="1" applyFont="1" applyBorder="1" applyAlignment="1">
      <alignment horizontal="left" vertical="center"/>
    </xf>
    <xf numFmtId="0" fontId="35" fillId="18" borderId="104" xfId="0" applyFont="1" applyFill="1" applyBorder="1" applyAlignment="1">
      <alignment horizontal="center" vertical="center"/>
    </xf>
    <xf numFmtId="0" fontId="35" fillId="18" borderId="105" xfId="0" applyFont="1" applyFill="1" applyBorder="1" applyAlignment="1">
      <alignment horizontal="center" vertical="center"/>
    </xf>
    <xf numFmtId="0" fontId="35" fillId="18" borderId="106" xfId="0" applyFont="1" applyFill="1" applyBorder="1" applyAlignment="1">
      <alignment horizontal="center" vertical="center"/>
    </xf>
    <xf numFmtId="0" fontId="10" fillId="0" borderId="91" xfId="0" applyFont="1" applyBorder="1" applyAlignment="1">
      <alignment horizontal="left" vertical="center" wrapText="1"/>
    </xf>
    <xf numFmtId="0" fontId="10" fillId="0" borderId="90" xfId="0" applyFont="1" applyBorder="1" applyAlignment="1">
      <alignment horizontal="left" vertical="center" wrapText="1"/>
    </xf>
    <xf numFmtId="0" fontId="10" fillId="0" borderId="93" xfId="0" applyFont="1" applyBorder="1" applyAlignment="1">
      <alignment horizontal="left" vertical="center" wrapText="1"/>
    </xf>
    <xf numFmtId="0" fontId="23" fillId="0" borderId="0" xfId="0" applyFont="1" applyAlignment="1">
      <alignment horizontal="center"/>
    </xf>
    <xf numFmtId="0" fontId="40" fillId="0" borderId="87" xfId="0" applyFont="1" applyBorder="1" applyAlignment="1">
      <alignment horizontal="center" vertical="center" wrapText="1"/>
    </xf>
    <xf numFmtId="0" fontId="42" fillId="21" borderId="89" xfId="0" applyFont="1" applyFill="1" applyBorder="1" applyAlignment="1">
      <alignment horizontal="center" vertical="center" wrapText="1"/>
    </xf>
    <xf numFmtId="0" fontId="42" fillId="21" borderId="87" xfId="0" applyFont="1" applyFill="1" applyBorder="1" applyAlignment="1">
      <alignment horizontal="center" vertical="center" wrapText="1"/>
    </xf>
    <xf numFmtId="0" fontId="42" fillId="21" borderId="88" xfId="0" applyFont="1" applyFill="1" applyBorder="1" applyAlignment="1">
      <alignment horizontal="center" vertical="center" wrapText="1"/>
    </xf>
    <xf numFmtId="0" fontId="10" fillId="0" borderId="89"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left"/>
    </xf>
    <xf numFmtId="0" fontId="10" fillId="0" borderId="87" xfId="0" applyFont="1" applyBorder="1" applyAlignment="1">
      <alignment horizontal="left"/>
    </xf>
    <xf numFmtId="0" fontId="10" fillId="0" borderId="88" xfId="0" applyFont="1" applyBorder="1" applyAlignment="1">
      <alignment horizontal="left"/>
    </xf>
    <xf numFmtId="0" fontId="40" fillId="0" borderId="92" xfId="0" applyFont="1" applyBorder="1" applyAlignment="1">
      <alignment horizontal="left" vertical="top" wrapText="1"/>
    </xf>
    <xf numFmtId="0" fontId="40" fillId="0" borderId="85" xfId="0" applyFont="1" applyBorder="1" applyAlignment="1">
      <alignment horizontal="left" vertical="top" wrapText="1"/>
    </xf>
    <xf numFmtId="0" fontId="40" fillId="0" borderId="86" xfId="0" applyFont="1" applyBorder="1" applyAlignment="1">
      <alignment horizontal="left" vertical="top" wrapText="1"/>
    </xf>
    <xf numFmtId="0" fontId="42" fillId="0" borderId="0" xfId="0" applyFont="1" applyAlignment="1">
      <alignment horizontal="left" vertical="top" wrapText="1"/>
    </xf>
    <xf numFmtId="0" fontId="42" fillId="0" borderId="90" xfId="0" applyFont="1" applyBorder="1" applyAlignment="1">
      <alignment horizontal="left" vertical="top" wrapText="1"/>
    </xf>
    <xf numFmtId="0" fontId="0" fillId="0" borderId="84" xfId="0" applyBorder="1" applyAlignment="1">
      <alignment horizontal="center"/>
    </xf>
    <xf numFmtId="0" fontId="10" fillId="0" borderId="84" xfId="0" applyFont="1" applyBorder="1" applyAlignment="1">
      <alignment horizontal="left"/>
    </xf>
    <xf numFmtId="0" fontId="10" fillId="0" borderId="92" xfId="0" applyFont="1" applyBorder="1" applyAlignment="1">
      <alignment horizontal="left" vertical="top" wrapText="1"/>
    </xf>
    <xf numFmtId="0" fontId="10" fillId="0" borderId="85" xfId="0" applyFont="1" applyBorder="1" applyAlignment="1">
      <alignment horizontal="left" vertical="top" wrapText="1"/>
    </xf>
    <xf numFmtId="0" fontId="10" fillId="0" borderId="86" xfId="0" applyFont="1" applyBorder="1" applyAlignment="1">
      <alignment horizontal="left" vertical="top" wrapText="1"/>
    </xf>
    <xf numFmtId="0" fontId="10" fillId="0" borderId="91" xfId="0" applyFont="1" applyBorder="1" applyAlignment="1">
      <alignment horizontal="left" vertical="top" wrapText="1"/>
    </xf>
    <xf numFmtId="0" fontId="10" fillId="0" borderId="90" xfId="0" applyFont="1" applyBorder="1" applyAlignment="1">
      <alignment horizontal="left" vertical="top" wrapText="1"/>
    </xf>
    <xf numFmtId="0" fontId="10" fillId="0" borderId="93" xfId="0" applyFont="1" applyBorder="1" applyAlignment="1">
      <alignment horizontal="left" vertical="top" wrapText="1"/>
    </xf>
    <xf numFmtId="0" fontId="10" fillId="0" borderId="92" xfId="0" applyFont="1" applyBorder="1" applyAlignment="1">
      <alignment horizontal="left" vertical="top"/>
    </xf>
    <xf numFmtId="0" fontId="10" fillId="0" borderId="85" xfId="0" applyFont="1" applyBorder="1" applyAlignment="1">
      <alignment horizontal="left" vertical="top"/>
    </xf>
    <xf numFmtId="0" fontId="10" fillId="0" borderId="86" xfId="0" applyFont="1" applyBorder="1" applyAlignment="1">
      <alignment horizontal="left" vertical="top"/>
    </xf>
    <xf numFmtId="0" fontId="10" fillId="0" borderId="91" xfId="0" applyFont="1" applyBorder="1" applyAlignment="1">
      <alignment horizontal="left" vertical="top"/>
    </xf>
    <xf numFmtId="0" fontId="10" fillId="0" borderId="90" xfId="0" applyFont="1" applyBorder="1" applyAlignment="1">
      <alignment horizontal="left" vertical="top"/>
    </xf>
    <xf numFmtId="0" fontId="10" fillId="0" borderId="93" xfId="0" applyFont="1" applyBorder="1" applyAlignment="1">
      <alignment horizontal="left" vertical="top"/>
    </xf>
    <xf numFmtId="0" fontId="10" fillId="0" borderId="84" xfId="0" applyFont="1" applyBorder="1" applyAlignment="1">
      <alignment horizontal="center"/>
    </xf>
    <xf numFmtId="0" fontId="39" fillId="19" borderId="89" xfId="0" applyFont="1" applyFill="1" applyBorder="1" applyAlignment="1">
      <alignment horizontal="center"/>
    </xf>
    <xf numFmtId="0" fontId="39" fillId="19" borderId="87" xfId="0" applyFont="1" applyFill="1" applyBorder="1" applyAlignment="1">
      <alignment horizontal="center"/>
    </xf>
    <xf numFmtId="0" fontId="39" fillId="19" borderId="88" xfId="0" applyFont="1" applyFill="1" applyBorder="1" applyAlignment="1">
      <alignment horizontal="center"/>
    </xf>
    <xf numFmtId="0" fontId="10" fillId="0" borderId="92" xfId="0" applyFont="1" applyBorder="1" applyAlignment="1">
      <alignment horizontal="center"/>
    </xf>
    <xf numFmtId="0" fontId="10" fillId="0" borderId="85" xfId="0" applyFont="1" applyBorder="1" applyAlignment="1">
      <alignment horizontal="center"/>
    </xf>
    <xf numFmtId="0" fontId="10" fillId="0" borderId="86" xfId="0" applyFont="1" applyBorder="1" applyAlignment="1">
      <alignment horizontal="center"/>
    </xf>
    <xf numFmtId="0" fontId="10" fillId="0" borderId="92" xfId="0" applyFont="1" applyBorder="1" applyAlignment="1">
      <alignment horizontal="left" wrapText="1"/>
    </xf>
    <xf numFmtId="0" fontId="10" fillId="0" borderId="85" xfId="0" applyFont="1" applyBorder="1" applyAlignment="1">
      <alignment horizontal="left" wrapText="1"/>
    </xf>
    <xf numFmtId="0" fontId="10" fillId="0" borderId="86" xfId="0" applyFont="1" applyBorder="1" applyAlignment="1">
      <alignment horizontal="left" wrapText="1"/>
    </xf>
    <xf numFmtId="0" fontId="10" fillId="0" borderId="91" xfId="0" applyFont="1" applyBorder="1" applyAlignment="1">
      <alignment horizontal="left" wrapText="1"/>
    </xf>
    <xf numFmtId="0" fontId="10" fillId="0" borderId="90" xfId="0" applyFont="1" applyBorder="1" applyAlignment="1">
      <alignment horizontal="left" wrapText="1"/>
    </xf>
    <xf numFmtId="0" fontId="10" fillId="0" borderId="93" xfId="0" applyFont="1" applyBorder="1" applyAlignment="1">
      <alignment horizontal="left" wrapText="1"/>
    </xf>
    <xf numFmtId="0" fontId="10" fillId="0" borderId="90" xfId="0" applyFont="1" applyBorder="1" applyAlignment="1">
      <alignment horizontal="center"/>
    </xf>
    <xf numFmtId="0" fontId="0" fillId="0" borderId="85" xfId="0" applyBorder="1" applyAlignment="1">
      <alignment horizontal="center"/>
    </xf>
    <xf numFmtId="0" fontId="0" fillId="0" borderId="0" xfId="0" applyAlignment="1">
      <alignment horizontal="center"/>
    </xf>
    <xf numFmtId="0" fontId="39" fillId="18" borderId="89" xfId="0" applyFont="1" applyFill="1" applyBorder="1" applyAlignment="1">
      <alignment horizontal="center" vertical="center"/>
    </xf>
    <xf numFmtId="0" fontId="39" fillId="18" borderId="87" xfId="0" applyFont="1" applyFill="1" applyBorder="1" applyAlignment="1">
      <alignment horizontal="center" vertical="center"/>
    </xf>
    <xf numFmtId="0" fontId="39" fillId="18" borderId="88" xfId="0" applyFont="1" applyFill="1" applyBorder="1" applyAlignment="1">
      <alignment horizontal="center" vertical="center"/>
    </xf>
    <xf numFmtId="0" fontId="39" fillId="20" borderId="89" xfId="0" applyFont="1" applyFill="1" applyBorder="1" applyAlignment="1">
      <alignment horizontal="center"/>
    </xf>
    <xf numFmtId="0" fontId="39" fillId="20" borderId="87" xfId="0" applyFont="1" applyFill="1" applyBorder="1" applyAlignment="1">
      <alignment horizontal="center"/>
    </xf>
    <xf numFmtId="0" fontId="39" fillId="20" borderId="88" xfId="0" applyFont="1" applyFill="1" applyBorder="1" applyAlignment="1">
      <alignment horizontal="center"/>
    </xf>
    <xf numFmtId="0" fontId="9" fillId="0" borderId="89" xfId="0" applyFont="1" applyBorder="1" applyAlignment="1">
      <alignment horizontal="center"/>
    </xf>
    <xf numFmtId="0" fontId="9" fillId="0" borderId="87" xfId="0" applyFont="1" applyBorder="1" applyAlignment="1">
      <alignment horizontal="center"/>
    </xf>
    <xf numFmtId="0" fontId="9" fillId="0" borderId="88" xfId="0" applyFont="1" applyBorder="1" applyAlignment="1">
      <alignment horizontal="center"/>
    </xf>
    <xf numFmtId="0" fontId="40" fillId="0" borderId="94" xfId="0" applyFont="1" applyBorder="1" applyAlignment="1">
      <alignment horizontal="left" vertical="top" wrapText="1"/>
    </xf>
    <xf numFmtId="0" fontId="40" fillId="0" borderId="0" xfId="0" applyFont="1" applyAlignment="1">
      <alignment horizontal="left" vertical="top" wrapText="1"/>
    </xf>
    <xf numFmtId="0" fontId="40" fillId="0" borderId="95" xfId="0" applyFont="1" applyBorder="1" applyAlignment="1">
      <alignment horizontal="left" vertical="top" wrapText="1"/>
    </xf>
    <xf numFmtId="0" fontId="40" fillId="0" borderId="91" xfId="0" applyFont="1" applyBorder="1" applyAlignment="1">
      <alignment horizontal="left" vertical="top" wrapText="1"/>
    </xf>
    <xf numFmtId="0" fontId="40" fillId="0" borderId="90" xfId="0" applyFont="1" applyBorder="1" applyAlignment="1">
      <alignment horizontal="left" vertical="top" wrapText="1"/>
    </xf>
    <xf numFmtId="0" fontId="40" fillId="0" borderId="93" xfId="0" applyFont="1" applyBorder="1" applyAlignment="1">
      <alignment horizontal="left" vertical="top" wrapText="1"/>
    </xf>
    <xf numFmtId="0" fontId="10" fillId="0" borderId="94" xfId="0" applyFont="1" applyBorder="1" applyAlignment="1">
      <alignment horizontal="center"/>
    </xf>
    <xf numFmtId="0" fontId="10" fillId="0" borderId="95" xfId="0" applyFont="1" applyBorder="1" applyAlignment="1">
      <alignment horizontal="center"/>
    </xf>
    <xf numFmtId="0" fontId="10" fillId="0" borderId="91" xfId="0" applyFont="1" applyBorder="1" applyAlignment="1">
      <alignment horizontal="center"/>
    </xf>
    <xf numFmtId="0" fontId="10" fillId="0" borderId="93" xfId="0" applyFont="1" applyBorder="1" applyAlignment="1">
      <alignment horizontal="center"/>
    </xf>
    <xf numFmtId="0" fontId="9" fillId="0" borderId="84" xfId="0" applyFont="1" applyBorder="1" applyAlignment="1">
      <alignment horizontal="center"/>
    </xf>
    <xf numFmtId="0" fontId="10" fillId="0" borderId="84" xfId="0" applyFont="1" applyBorder="1" applyAlignment="1">
      <alignment horizontal="center" vertical="top" wrapText="1"/>
    </xf>
    <xf numFmtId="0" fontId="10" fillId="0" borderId="0" xfId="0" applyFont="1" applyAlignment="1">
      <alignment horizontal="left" vertical="top" wrapText="1"/>
    </xf>
    <xf numFmtId="0" fontId="42" fillId="21" borderId="94" xfId="0" applyFont="1" applyFill="1" applyBorder="1" applyAlignment="1">
      <alignment horizontal="center" vertical="center" wrapText="1"/>
    </xf>
    <xf numFmtId="0" fontId="42" fillId="21" borderId="0" xfId="0" applyFont="1" applyFill="1" applyAlignment="1">
      <alignment horizontal="center" vertical="center" wrapText="1"/>
    </xf>
    <xf numFmtId="0" fontId="42" fillId="0" borderId="87" xfId="0" applyFont="1" applyBorder="1" applyAlignment="1">
      <alignment horizontal="center" vertical="center" wrapText="1"/>
    </xf>
    <xf numFmtId="0" fontId="10" fillId="0" borderId="89" xfId="0" applyFont="1" applyBorder="1" applyAlignment="1">
      <alignment horizontal="left" vertical="top" wrapText="1"/>
    </xf>
    <xf numFmtId="0" fontId="10" fillId="0" borderId="88" xfId="0" applyFont="1" applyBorder="1" applyAlignment="1">
      <alignment horizontal="left" vertical="top" wrapText="1"/>
    </xf>
    <xf numFmtId="0" fontId="10" fillId="0" borderId="84" xfId="0" applyFont="1" applyBorder="1" applyAlignment="1">
      <alignment horizontal="left" wrapText="1"/>
    </xf>
    <xf numFmtId="0" fontId="39" fillId="18" borderId="94" xfId="0" applyFont="1" applyFill="1" applyBorder="1" applyAlignment="1">
      <alignment horizontal="center" vertical="center"/>
    </xf>
    <xf numFmtId="0" fontId="39" fillId="18" borderId="0" xfId="0" applyFont="1" applyFill="1" applyAlignment="1">
      <alignment horizontal="center" vertical="center"/>
    </xf>
    <xf numFmtId="0" fontId="39" fillId="20" borderId="94" xfId="0" applyFont="1" applyFill="1" applyBorder="1" applyAlignment="1">
      <alignment horizontal="center"/>
    </xf>
    <xf numFmtId="0" fontId="39" fillId="20" borderId="0" xfId="0" applyFont="1" applyFill="1" applyAlignment="1">
      <alignment horizontal="center"/>
    </xf>
    <xf numFmtId="0" fontId="10" fillId="0" borderId="0" xfId="0" applyFont="1" applyAlignment="1">
      <alignment horizontal="left" wrapText="1"/>
    </xf>
    <xf numFmtId="0" fontId="39" fillId="19" borderId="94" xfId="0" applyFont="1" applyFill="1" applyBorder="1" applyAlignment="1">
      <alignment horizontal="center"/>
    </xf>
    <xf numFmtId="0" fontId="39" fillId="19" borderId="0" xfId="0" applyFont="1" applyFill="1" applyAlignment="1">
      <alignment horizontal="center"/>
    </xf>
    <xf numFmtId="0" fontId="10" fillId="0" borderId="0" xfId="0" applyFont="1" applyAlignment="1">
      <alignment horizontal="left" vertical="justify" wrapText="1"/>
    </xf>
    <xf numFmtId="0" fontId="15" fillId="2" borderId="17" xfId="0" applyFont="1" applyFill="1" applyBorder="1" applyAlignment="1">
      <alignment horizontal="center" vertical="center" textRotation="90"/>
    </xf>
    <xf numFmtId="0" fontId="15" fillId="2" borderId="18" xfId="0" applyFont="1" applyFill="1" applyBorder="1" applyAlignment="1">
      <alignment horizontal="center" vertical="center" textRotation="90"/>
    </xf>
    <xf numFmtId="0" fontId="15" fillId="2" borderId="4" xfId="0" applyFont="1" applyFill="1" applyBorder="1" applyAlignment="1">
      <alignment horizontal="center" vertical="center" textRotation="90"/>
    </xf>
    <xf numFmtId="0" fontId="23" fillId="2" borderId="5" xfId="0" applyFont="1" applyFill="1" applyBorder="1" applyAlignment="1">
      <alignment horizontal="left" vertical="center"/>
    </xf>
    <xf numFmtId="0" fontId="23" fillId="2" borderId="8" xfId="0" applyFont="1" applyFill="1" applyBorder="1" applyAlignment="1">
      <alignment horizontal="left" vertical="center"/>
    </xf>
    <xf numFmtId="0" fontId="15" fillId="2" borderId="0" xfId="0" applyFont="1" applyFill="1" applyAlignment="1">
      <alignment horizontal="right" wrapText="1"/>
    </xf>
    <xf numFmtId="0" fontId="15" fillId="3" borderId="5" xfId="0" applyFont="1" applyFill="1" applyBorder="1" applyAlignment="1">
      <alignment horizontal="center" vertical="center"/>
    </xf>
    <xf numFmtId="0" fontId="15" fillId="3" borderId="9" xfId="0" applyFont="1" applyFill="1" applyBorder="1" applyAlignment="1">
      <alignment horizontal="center" vertical="center"/>
    </xf>
    <xf numFmtId="0" fontId="15" fillId="3" borderId="8" xfId="0" applyFont="1" applyFill="1" applyBorder="1" applyAlignment="1">
      <alignment horizontal="center" vertical="center"/>
    </xf>
    <xf numFmtId="0" fontId="23" fillId="2" borderId="9" xfId="0" applyFont="1" applyFill="1" applyBorder="1" applyAlignment="1">
      <alignment horizontal="left" vertical="center"/>
    </xf>
    <xf numFmtId="0" fontId="45" fillId="0" borderId="0" xfId="0" applyFont="1" applyAlignment="1">
      <alignment horizontal="right" vertical="center"/>
    </xf>
    <xf numFmtId="0" fontId="19" fillId="0" borderId="0" xfId="0" applyFont="1" applyAlignment="1">
      <alignment horizontal="right" vertical="center"/>
    </xf>
    <xf numFmtId="0" fontId="16" fillId="0" borderId="0" xfId="0" applyFont="1" applyAlignment="1">
      <alignment horizontal="right" vertical="center"/>
    </xf>
    <xf numFmtId="0" fontId="46" fillId="0" borderId="15" xfId="0" applyFont="1" applyBorder="1" applyAlignment="1">
      <alignment horizontal="center"/>
    </xf>
    <xf numFmtId="0" fontId="45" fillId="0" borderId="0" xfId="0" applyFont="1" applyAlignment="1">
      <alignment horizontal="left" wrapText="1"/>
    </xf>
    <xf numFmtId="0" fontId="9" fillId="0" borderId="0" xfId="0" applyFont="1" applyAlignment="1">
      <alignment horizontal="left" vertical="center"/>
    </xf>
    <xf numFmtId="0" fontId="45" fillId="0" borderId="0" xfId="0" applyFont="1" applyAlignment="1">
      <alignment horizontal="left"/>
    </xf>
    <xf numFmtId="0" fontId="13" fillId="0" borderId="0" xfId="0" applyFont="1" applyAlignment="1">
      <alignment horizontal="center"/>
    </xf>
    <xf numFmtId="0" fontId="46" fillId="0" borderId="0" xfId="0" applyFont="1" applyAlignment="1">
      <alignment horizontal="left" wrapText="1"/>
    </xf>
    <xf numFmtId="0" fontId="30" fillId="18" borderId="94" xfId="0" applyFont="1" applyFill="1" applyBorder="1" applyAlignment="1">
      <alignment horizontal="center" vertical="center"/>
    </xf>
    <xf numFmtId="0" fontId="30" fillId="18" borderId="0" xfId="0" applyFont="1" applyFill="1" applyAlignment="1">
      <alignment horizontal="center" vertical="center"/>
    </xf>
    <xf numFmtId="0" fontId="50" fillId="0" borderId="0" xfId="0" applyFont="1" applyAlignment="1">
      <alignment horizontal="center" vertical="center" wrapText="1"/>
    </xf>
    <xf numFmtId="1" fontId="46" fillId="0" borderId="15" xfId="0" applyNumberFormat="1" applyFont="1" applyBorder="1" applyAlignment="1">
      <alignment horizontal="center"/>
    </xf>
    <xf numFmtId="0" fontId="46" fillId="0" borderId="0" xfId="0" applyFont="1" applyAlignment="1">
      <alignment horizontal="center" wrapText="1"/>
    </xf>
    <xf numFmtId="0" fontId="46" fillId="0" borderId="14" xfId="0" applyFont="1" applyBorder="1" applyAlignment="1">
      <alignment horizontal="center"/>
    </xf>
    <xf numFmtId="0" fontId="10" fillId="2" borderId="0" xfId="0" applyFont="1" applyFill="1" applyAlignment="1">
      <alignment horizontal="center" wrapText="1"/>
    </xf>
    <xf numFmtId="0" fontId="23" fillId="2" borderId="0" xfId="0" applyFont="1" applyFill="1" applyAlignment="1">
      <alignment horizontal="center" vertical="justify" wrapText="1"/>
    </xf>
    <xf numFmtId="0" fontId="23" fillId="2" borderId="14" xfId="0" applyFont="1" applyFill="1" applyBorder="1" applyAlignment="1">
      <alignment horizontal="center" vertical="justify" wrapText="1"/>
    </xf>
    <xf numFmtId="0" fontId="35" fillId="22" borderId="0" xfId="0" applyFont="1" applyFill="1" applyAlignment="1">
      <alignment horizontal="center" vertical="center"/>
    </xf>
    <xf numFmtId="0" fontId="10" fillId="2" borderId="0" xfId="0" applyFont="1" applyFill="1" applyAlignment="1">
      <alignment horizontal="center" vertical="center" wrapText="1"/>
    </xf>
    <xf numFmtId="0" fontId="23" fillId="2" borderId="0" xfId="0" applyFont="1" applyFill="1" applyAlignment="1">
      <alignment horizontal="left" vertical="justify" wrapText="1"/>
    </xf>
    <xf numFmtId="0" fontId="23" fillId="2" borderId="0" xfId="0" applyFont="1" applyFill="1" applyAlignment="1">
      <alignment horizontal="left" vertical="center"/>
    </xf>
    <xf numFmtId="0" fontId="23" fillId="2" borderId="15" xfId="0" applyFont="1" applyFill="1" applyBorder="1" applyAlignment="1">
      <alignment horizontal="center"/>
    </xf>
    <xf numFmtId="0" fontId="23" fillId="2" borderId="0" xfId="0" applyFont="1" applyFill="1" applyAlignment="1">
      <alignment horizontal="center"/>
    </xf>
    <xf numFmtId="0" fontId="23" fillId="2" borderId="0" xfId="0" applyFont="1" applyFill="1" applyAlignment="1">
      <alignment horizontal="left"/>
    </xf>
    <xf numFmtId="0" fontId="23" fillId="2" borderId="14" xfId="0" applyFont="1" applyFill="1" applyBorder="1" applyAlignment="1">
      <alignment horizontal="center"/>
    </xf>
    <xf numFmtId="0" fontId="11" fillId="2" borderId="0" xfId="0" applyFont="1" applyFill="1" applyAlignment="1">
      <alignment horizontal="left"/>
    </xf>
    <xf numFmtId="0" fontId="10" fillId="2" borderId="0" xfId="0" applyFont="1" applyFill="1" applyAlignment="1">
      <alignment horizontal="left"/>
    </xf>
    <xf numFmtId="0" fontId="10" fillId="2" borderId="0" xfId="0" applyFont="1" applyFill="1" applyAlignment="1">
      <alignment horizontal="center"/>
    </xf>
    <xf numFmtId="0" fontId="23" fillId="2" borderId="15" xfId="0" applyFont="1" applyFill="1" applyBorder="1" applyAlignment="1">
      <alignment horizontal="left" vertical="justify" wrapText="1"/>
    </xf>
    <xf numFmtId="0" fontId="23" fillId="2" borderId="0" xfId="0" applyFont="1" applyFill="1" applyAlignment="1">
      <alignment horizontal="right"/>
    </xf>
    <xf numFmtId="171" fontId="44" fillId="2" borderId="14" xfId="0" applyNumberFormat="1" applyFont="1" applyFill="1" applyBorder="1" applyAlignment="1">
      <alignment horizontal="center" vertical="justify" wrapText="1"/>
    </xf>
    <xf numFmtId="0" fontId="0" fillId="0" borderId="15" xfId="0" applyBorder="1" applyAlignment="1">
      <alignment horizontal="left" vertical="center"/>
    </xf>
    <xf numFmtId="0" fontId="0" fillId="0" borderId="27" xfId="0" applyBorder="1" applyAlignment="1">
      <alignment horizontal="left" vertical="center"/>
    </xf>
    <xf numFmtId="0" fontId="10" fillId="0" borderId="28" xfId="0" applyFont="1" applyBorder="1" applyAlignment="1">
      <alignment horizontal="center" vertical="center"/>
    </xf>
    <xf numFmtId="0" fontId="10" fillId="0" borderId="15" xfId="0" applyFont="1" applyBorder="1" applyAlignment="1">
      <alignment horizontal="center" vertical="center"/>
    </xf>
    <xf numFmtId="0" fontId="10" fillId="0" borderId="21" xfId="0" applyFont="1" applyBorder="1" applyAlignment="1">
      <alignment horizontal="center" vertical="center"/>
    </xf>
    <xf numFmtId="14" fontId="10" fillId="0" borderId="20" xfId="0" applyNumberFormat="1" applyFont="1" applyBorder="1" applyAlignment="1">
      <alignment horizontal="center" vertical="center"/>
    </xf>
    <xf numFmtId="14" fontId="10" fillId="0" borderId="21" xfId="0" applyNumberFormat="1" applyFont="1" applyBorder="1" applyAlignment="1">
      <alignment horizontal="center" vertical="center"/>
    </xf>
    <xf numFmtId="0" fontId="0" fillId="0" borderId="20" xfId="0" applyBorder="1" applyAlignment="1">
      <alignment horizontal="center"/>
    </xf>
    <xf numFmtId="0" fontId="0" fillId="0" borderId="15" xfId="0" applyBorder="1" applyAlignment="1">
      <alignment horizontal="center"/>
    </xf>
    <xf numFmtId="0" fontId="0" fillId="0" borderId="27" xfId="0" applyBorder="1" applyAlignment="1">
      <alignment horizontal="center"/>
    </xf>
    <xf numFmtId="0" fontId="8" fillId="5" borderId="28" xfId="0" applyFont="1" applyFill="1" applyBorder="1" applyAlignment="1">
      <alignment horizontal="center" vertical="center"/>
    </xf>
    <xf numFmtId="0" fontId="8" fillId="5" borderId="27" xfId="0" applyFont="1" applyFill="1" applyBorder="1" applyAlignment="1">
      <alignment horizontal="center" vertical="center"/>
    </xf>
    <xf numFmtId="0" fontId="8" fillId="0" borderId="29" xfId="0" applyFont="1" applyBorder="1" applyAlignment="1">
      <alignment horizontal="left" vertical="top"/>
    </xf>
    <xf numFmtId="0" fontId="8" fillId="0" borderId="19" xfId="0" applyFont="1" applyBorder="1" applyAlignment="1">
      <alignment horizontal="left" vertical="top"/>
    </xf>
    <xf numFmtId="0" fontId="0" fillId="0" borderId="19" xfId="0" applyBorder="1" applyAlignment="1">
      <alignment horizontal="left" vertical="top"/>
    </xf>
    <xf numFmtId="0" fontId="0" fillId="0" borderId="32" xfId="0" applyBorder="1" applyAlignment="1">
      <alignment horizontal="left" vertical="top"/>
    </xf>
    <xf numFmtId="0" fontId="8" fillId="0" borderId="33" xfId="0" applyFont="1" applyBorder="1" applyAlignment="1">
      <alignment horizontal="left" vertical="top"/>
    </xf>
    <xf numFmtId="0" fontId="0" fillId="0" borderId="30" xfId="0" applyBorder="1" applyAlignment="1">
      <alignment horizontal="left" vertical="top"/>
    </xf>
    <xf numFmtId="0" fontId="8" fillId="0" borderId="25" xfId="0" applyFont="1" applyBorder="1" applyAlignment="1">
      <alignment horizontal="center" vertical="top"/>
    </xf>
    <xf numFmtId="0" fontId="8" fillId="0" borderId="14" xfId="0" applyFont="1" applyBorder="1" applyAlignment="1">
      <alignment horizontal="center" vertical="top"/>
    </xf>
    <xf numFmtId="0" fontId="8" fillId="4" borderId="28" xfId="0" applyFont="1" applyFill="1" applyBorder="1" applyAlignment="1">
      <alignment horizontal="center" vertical="center"/>
    </xf>
    <xf numFmtId="0" fontId="8" fillId="4" borderId="27" xfId="0" applyFont="1" applyFill="1" applyBorder="1" applyAlignment="1">
      <alignment horizontal="center" vertical="center"/>
    </xf>
    <xf numFmtId="0" fontId="0" fillId="0" borderId="37" xfId="0" applyBorder="1" applyAlignment="1">
      <alignment horizontal="center" vertical="center"/>
    </xf>
    <xf numFmtId="0" fontId="10" fillId="0" borderId="40" xfId="0" applyFont="1" applyBorder="1" applyAlignment="1">
      <alignment horizontal="center" vertical="center"/>
    </xf>
    <xf numFmtId="0" fontId="10" fillId="0" borderId="41" xfId="0" applyFont="1" applyBorder="1" applyAlignment="1">
      <alignment horizontal="center" vertical="center"/>
    </xf>
    <xf numFmtId="0" fontId="10" fillId="0" borderId="42" xfId="0" applyFont="1" applyBorder="1" applyAlignment="1">
      <alignment horizontal="center" vertical="center"/>
    </xf>
    <xf numFmtId="0" fontId="0" fillId="0" borderId="43" xfId="0" applyBorder="1" applyAlignment="1">
      <alignment horizontal="center"/>
    </xf>
    <xf numFmtId="0" fontId="0" fillId="0" borderId="42" xfId="0" applyBorder="1" applyAlignment="1">
      <alignment horizontal="center"/>
    </xf>
    <xf numFmtId="0" fontId="0" fillId="0" borderId="41" xfId="0" applyBorder="1" applyAlignment="1">
      <alignment horizontal="center"/>
    </xf>
    <xf numFmtId="0" fontId="0" fillId="0" borderId="44" xfId="0" applyBorder="1" applyAlignment="1">
      <alignment horizontal="center"/>
    </xf>
    <xf numFmtId="0" fontId="14" fillId="0" borderId="0" xfId="0" applyFont="1" applyAlignment="1">
      <alignment horizontal="justify" vertical="center" wrapText="1"/>
    </xf>
    <xf numFmtId="0" fontId="0" fillId="0" borderId="21" xfId="0" applyBorder="1" applyAlignment="1">
      <alignment horizontal="left" vertical="center"/>
    </xf>
    <xf numFmtId="0" fontId="8" fillId="0" borderId="37" xfId="0" applyFont="1" applyBorder="1" applyAlignment="1">
      <alignment horizontal="center" vertical="center"/>
    </xf>
    <xf numFmtId="0" fontId="8" fillId="0" borderId="20" xfId="0" applyFont="1" applyBorder="1" applyAlignment="1">
      <alignment horizontal="center" vertical="center" wrapText="1"/>
    </xf>
    <xf numFmtId="0" fontId="8" fillId="0" borderId="27" xfId="0" applyFont="1" applyBorder="1" applyAlignment="1">
      <alignment horizontal="center" vertical="center" wrapText="1"/>
    </xf>
    <xf numFmtId="4" fontId="0" fillId="0" borderId="20" xfId="0" applyNumberFormat="1" applyBorder="1" applyAlignment="1">
      <alignment horizontal="right" vertical="center"/>
    </xf>
    <xf numFmtId="4" fontId="0" fillId="0" borderId="27" xfId="0" applyNumberFormat="1" applyBorder="1" applyAlignment="1">
      <alignment horizontal="right" vertical="center"/>
    </xf>
    <xf numFmtId="0" fontId="8" fillId="0" borderId="37" xfId="0" applyFont="1" applyBorder="1" applyAlignment="1">
      <alignment horizontal="center" vertical="center" wrapText="1"/>
    </xf>
    <xf numFmtId="0" fontId="8" fillId="0" borderId="20" xfId="0" applyFont="1" applyBorder="1" applyAlignment="1">
      <alignment horizontal="center" vertical="center"/>
    </xf>
    <xf numFmtId="0" fontId="8" fillId="0" borderId="21" xfId="0" applyFont="1" applyBorder="1" applyAlignment="1">
      <alignment horizontal="center" vertical="center"/>
    </xf>
    <xf numFmtId="1" fontId="0" fillId="0" borderId="37" xfId="0" applyNumberFormat="1" applyBorder="1" applyAlignment="1">
      <alignment horizontal="center" vertical="center"/>
    </xf>
    <xf numFmtId="0" fontId="8" fillId="0" borderId="39" xfId="0" applyFont="1" applyBorder="1" applyAlignment="1">
      <alignment horizontal="center" vertical="center"/>
    </xf>
    <xf numFmtId="0" fontId="8" fillId="0" borderId="38" xfId="0" applyFont="1"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wrapText="1"/>
    </xf>
    <xf numFmtId="0" fontId="0" fillId="0" borderId="20" xfId="0" applyBorder="1" applyAlignment="1">
      <alignment horizontal="center" vertical="center" wrapText="1"/>
    </xf>
    <xf numFmtId="0" fontId="0" fillId="0" borderId="38" xfId="0" applyBorder="1" applyAlignment="1">
      <alignment horizontal="center" vertical="center" wrapText="1"/>
    </xf>
    <xf numFmtId="0" fontId="0" fillId="0" borderId="20" xfId="0" applyBorder="1" applyAlignment="1">
      <alignment horizontal="center" vertical="center"/>
    </xf>
    <xf numFmtId="0" fontId="0" fillId="0" borderId="38" xfId="0" applyBorder="1" applyAlignment="1">
      <alignment horizontal="center" vertical="center"/>
    </xf>
    <xf numFmtId="0" fontId="8" fillId="0" borderId="27" xfId="0" applyFont="1" applyBorder="1" applyAlignment="1">
      <alignment horizontal="center" vertical="center"/>
    </xf>
    <xf numFmtId="0" fontId="0" fillId="0" borderId="27" xfId="0" applyBorder="1" applyAlignment="1">
      <alignment horizontal="center" vertical="center"/>
    </xf>
    <xf numFmtId="4" fontId="8" fillId="0" borderId="20" xfId="0" applyNumberFormat="1" applyFont="1" applyBorder="1" applyAlignment="1">
      <alignment horizontal="right" vertical="center"/>
    </xf>
    <xf numFmtId="4" fontId="8" fillId="0" borderId="27" xfId="0" applyNumberFormat="1" applyFont="1" applyBorder="1" applyAlignment="1">
      <alignment horizontal="right" vertical="center"/>
    </xf>
    <xf numFmtId="0" fontId="8" fillId="0" borderId="15" xfId="0" applyFont="1" applyBorder="1" applyAlignment="1">
      <alignment horizontal="right" vertical="center"/>
    </xf>
    <xf numFmtId="0" fontId="8" fillId="0" borderId="21" xfId="0" applyFont="1" applyBorder="1" applyAlignment="1">
      <alignment horizontal="right" vertical="center"/>
    </xf>
    <xf numFmtId="0" fontId="8" fillId="0" borderId="27" xfId="0" applyFont="1" applyBorder="1" applyAlignment="1">
      <alignment horizontal="right" vertical="center"/>
    </xf>
    <xf numFmtId="0" fontId="8" fillId="0" borderId="33" xfId="0" applyFont="1" applyBorder="1" applyAlignment="1">
      <alignment horizontal="left" vertical="center" wrapText="1"/>
    </xf>
    <xf numFmtId="0" fontId="8" fillId="0" borderId="19" xfId="0" applyFont="1" applyBorder="1" applyAlignment="1">
      <alignment horizontal="left" vertical="center" wrapText="1"/>
    </xf>
    <xf numFmtId="0" fontId="8" fillId="0" borderId="34" xfId="0" applyFont="1" applyBorder="1" applyAlignment="1">
      <alignment horizontal="left" vertical="center" wrapText="1"/>
    </xf>
    <xf numFmtId="0" fontId="8" fillId="0" borderId="14" xfId="0" applyFont="1" applyBorder="1" applyAlignment="1">
      <alignment horizontal="left" vertical="center" wrapText="1"/>
    </xf>
    <xf numFmtId="0" fontId="0" fillId="0" borderId="19" xfId="0" applyBorder="1" applyAlignment="1">
      <alignment horizontal="left" vertical="center"/>
    </xf>
    <xf numFmtId="0" fontId="0" fillId="0" borderId="30" xfId="0" applyBorder="1" applyAlignment="1">
      <alignment horizontal="left" vertical="center"/>
    </xf>
    <xf numFmtId="0" fontId="0" fillId="0" borderId="14" xfId="0" applyBorder="1" applyAlignment="1">
      <alignment horizontal="left" vertical="center"/>
    </xf>
    <xf numFmtId="0" fontId="0" fillId="0" borderId="31" xfId="0" applyBorder="1" applyAlignment="1">
      <alignment horizontal="left" vertical="center"/>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4" xfId="0" applyFont="1" applyFill="1" applyBorder="1" applyAlignment="1">
      <alignment horizontal="center" vertical="center"/>
    </xf>
    <xf numFmtId="14" fontId="0" fillId="0" borderId="15" xfId="0" applyNumberFormat="1" applyBorder="1" applyAlignment="1">
      <alignment horizontal="left" vertical="center"/>
    </xf>
    <xf numFmtId="14" fontId="0" fillId="0" borderId="27" xfId="0" applyNumberFormat="1" applyBorder="1" applyAlignment="1">
      <alignment horizontal="left" vertical="center"/>
    </xf>
    <xf numFmtId="0" fontId="8" fillId="0" borderId="28" xfId="0" applyFont="1" applyBorder="1" applyAlignment="1">
      <alignment horizontal="center" vertical="center"/>
    </xf>
    <xf numFmtId="0" fontId="8" fillId="0" borderId="15" xfId="0" applyFont="1" applyBorder="1" applyAlignment="1">
      <alignment horizontal="center" vertical="center"/>
    </xf>
    <xf numFmtId="0" fontId="0" fillId="0" borderId="28"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center" vertical="center"/>
    </xf>
    <xf numFmtId="0" fontId="0" fillId="0" borderId="34" xfId="0" applyBorder="1" applyAlignment="1">
      <alignment horizontal="center" vertical="center"/>
    </xf>
    <xf numFmtId="0" fontId="0" fillId="0" borderId="14" xfId="0" applyBorder="1" applyAlignment="1">
      <alignment horizontal="center" vertical="center"/>
    </xf>
    <xf numFmtId="165" fontId="0" fillId="0" borderId="14" xfId="0" applyNumberFormat="1" applyBorder="1" applyAlignment="1">
      <alignment horizontal="center" vertical="center"/>
    </xf>
    <xf numFmtId="165" fontId="0" fillId="0" borderId="31" xfId="0" applyNumberFormat="1" applyBorder="1" applyAlignment="1">
      <alignment horizontal="center" vertical="center"/>
    </xf>
    <xf numFmtId="0" fontId="8" fillId="0" borderId="33" xfId="0" applyFont="1" applyBorder="1" applyAlignment="1">
      <alignment horizontal="left" vertical="center"/>
    </xf>
    <xf numFmtId="0" fontId="8" fillId="0" borderId="19" xfId="0" applyFont="1" applyBorder="1" applyAlignment="1">
      <alignment horizontal="left" vertical="center"/>
    </xf>
    <xf numFmtId="0" fontId="8" fillId="0" borderId="62" xfId="0" applyFont="1" applyBorder="1" applyAlignment="1">
      <alignment horizontal="left" vertical="center"/>
    </xf>
    <xf numFmtId="0" fontId="8" fillId="0" borderId="0" xfId="0" applyFont="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0" fillId="0" borderId="19" xfId="0" applyBorder="1" applyAlignment="1">
      <alignment horizontal="left" vertical="center" wrapText="1"/>
    </xf>
    <xf numFmtId="0" fontId="0" fillId="0" borderId="30" xfId="0" applyBorder="1" applyAlignment="1">
      <alignment horizontal="left" vertical="center" wrapText="1"/>
    </xf>
    <xf numFmtId="0" fontId="0" fillId="0" borderId="0" xfId="0" applyAlignment="1">
      <alignment horizontal="left" vertical="center" wrapText="1"/>
    </xf>
    <xf numFmtId="0" fontId="0" fillId="0" borderId="3" xfId="0" applyBorder="1" applyAlignment="1">
      <alignment horizontal="left" vertical="center" wrapText="1"/>
    </xf>
    <xf numFmtId="0" fontId="0" fillId="0" borderId="14" xfId="0" applyBorder="1" applyAlignment="1">
      <alignment horizontal="left" vertical="center" wrapText="1"/>
    </xf>
    <xf numFmtId="0" fontId="0" fillId="0" borderId="31" xfId="0" applyBorder="1" applyAlignment="1">
      <alignment horizontal="left" vertical="center" wrapText="1"/>
    </xf>
    <xf numFmtId="0" fontId="23" fillId="2" borderId="19" xfId="0" applyFont="1" applyFill="1" applyBorder="1" applyAlignment="1">
      <alignment horizontal="center"/>
    </xf>
    <xf numFmtId="0" fontId="44" fillId="2" borderId="14" xfId="0" applyFont="1" applyFill="1" applyBorder="1" applyAlignment="1">
      <alignment horizontal="center"/>
    </xf>
    <xf numFmtId="0" fontId="23" fillId="2" borderId="15" xfId="0" applyFont="1" applyFill="1" applyBorder="1" applyAlignment="1">
      <alignment horizontal="center" vertical="justify" wrapText="1"/>
    </xf>
    <xf numFmtId="0" fontId="43" fillId="18" borderId="94" xfId="0" applyFont="1" applyFill="1" applyBorder="1" applyAlignment="1">
      <alignment horizontal="center" vertical="center"/>
    </xf>
    <xf numFmtId="0" fontId="43" fillId="18" borderId="0" xfId="0" applyFont="1" applyFill="1" applyAlignment="1">
      <alignment horizontal="center" vertical="center"/>
    </xf>
    <xf numFmtId="0" fontId="41" fillId="0" borderId="0" xfId="0" applyFont="1" applyAlignment="1">
      <alignment horizontal="center" vertical="top" wrapText="1"/>
    </xf>
    <xf numFmtId="0" fontId="0" fillId="0" borderId="14" xfId="0" applyBorder="1" applyAlignment="1">
      <alignment horizontal="center"/>
    </xf>
    <xf numFmtId="0" fontId="0" fillId="0" borderId="19" xfId="0" applyBorder="1" applyAlignment="1">
      <alignment horizontal="center"/>
    </xf>
    <xf numFmtId="0" fontId="14" fillId="0" borderId="0" xfId="0" applyFont="1" applyAlignment="1">
      <alignment horizontal="justify" vertical="top" wrapText="1"/>
    </xf>
    <xf numFmtId="1" fontId="8" fillId="0" borderId="14" xfId="0" applyNumberFormat="1" applyFont="1" applyBorder="1" applyAlignment="1">
      <alignment horizontal="center"/>
    </xf>
    <xf numFmtId="0" fontId="22" fillId="0" borderId="0" xfId="0" applyFont="1" applyAlignment="1">
      <alignment horizontal="left"/>
    </xf>
    <xf numFmtId="14" fontId="21" fillId="0" borderId="0" xfId="0" applyNumberFormat="1" applyFont="1" applyAlignment="1">
      <alignment horizontal="center"/>
    </xf>
    <xf numFmtId="0" fontId="8" fillId="0" borderId="14" xfId="0" applyFont="1" applyBorder="1" applyAlignment="1">
      <alignment horizontal="center"/>
    </xf>
    <xf numFmtId="0" fontId="8" fillId="0" borderId="15" xfId="0" applyFont="1" applyBorder="1" applyAlignment="1">
      <alignment horizontal="center"/>
    </xf>
    <xf numFmtId="168" fontId="16" fillId="0" borderId="0" xfId="0" applyNumberFormat="1" applyFont="1" applyAlignment="1">
      <alignment horizontal="left" vertical="center"/>
    </xf>
    <xf numFmtId="0" fontId="8" fillId="0" borderId="0" xfId="0" applyFont="1" applyAlignment="1">
      <alignment horizontal="center"/>
    </xf>
    <xf numFmtId="0" fontId="1" fillId="0" borderId="0" xfId="0" applyFont="1" applyAlignment="1">
      <alignment horizontal="justify" vertical="top" wrapText="1"/>
    </xf>
    <xf numFmtId="0" fontId="0" fillId="0" borderId="0" xfId="0" applyAlignment="1">
      <alignment horizontal="justify" vertical="top" wrapText="1"/>
    </xf>
    <xf numFmtId="0" fontId="0" fillId="0" borderId="0" xfId="0" applyAlignment="1">
      <alignment horizontal="justify" vertical="center" wrapText="1"/>
    </xf>
    <xf numFmtId="0" fontId="0" fillId="0" borderId="0" xfId="0" applyAlignment="1">
      <alignment horizontal="left" vertical="top" wrapText="1"/>
    </xf>
    <xf numFmtId="1" fontId="0" fillId="0" borderId="19" xfId="0" applyNumberFormat="1" applyBorder="1" applyAlignment="1">
      <alignment horizontal="center"/>
    </xf>
    <xf numFmtId="0" fontId="16" fillId="0" borderId="0" xfId="0" applyFont="1" applyAlignment="1">
      <alignment horizontal="justify" vertical="center" wrapText="1"/>
    </xf>
    <xf numFmtId="164" fontId="6" fillId="0" borderId="14" xfId="1" applyBorder="1" applyAlignment="1">
      <alignment horizontal="center"/>
    </xf>
    <xf numFmtId="0" fontId="8" fillId="0" borderId="5" xfId="0" applyFont="1" applyBorder="1" applyAlignment="1">
      <alignment horizontal="center" vertical="top"/>
    </xf>
    <xf numFmtId="0" fontId="8" fillId="0" borderId="9" xfId="0" applyFont="1" applyBorder="1" applyAlignment="1">
      <alignment horizontal="center" vertical="top"/>
    </xf>
    <xf numFmtId="0" fontId="8" fillId="0" borderId="8" xfId="0" applyFont="1" applyBorder="1" applyAlignment="1">
      <alignment horizontal="center" vertical="top"/>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Border="1" applyAlignment="1">
      <alignment horizontal="center" vertical="center"/>
    </xf>
    <xf numFmtId="0" fontId="8" fillId="0" borderId="0" xfId="0" applyFont="1" applyAlignment="1">
      <alignment horizontal="left" wrapText="1"/>
    </xf>
    <xf numFmtId="167" fontId="8" fillId="0" borderId="16" xfId="0" applyNumberFormat="1" applyFont="1"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5" xfId="0" applyBorder="1" applyAlignment="1">
      <alignment horizontal="left"/>
    </xf>
    <xf numFmtId="0" fontId="0" fillId="0" borderId="27" xfId="0" applyBorder="1" applyAlignment="1">
      <alignment horizontal="left"/>
    </xf>
    <xf numFmtId="0" fontId="0" fillId="0" borderId="14" xfId="0" applyBorder="1" applyAlignment="1">
      <alignment horizontal="left"/>
    </xf>
    <xf numFmtId="0" fontId="15" fillId="0" borderId="0" xfId="0" applyFont="1" applyAlignment="1">
      <alignment horizontal="center"/>
    </xf>
    <xf numFmtId="1" fontId="0" fillId="0" borderId="14" xfId="0" applyNumberFormat="1" applyBorder="1" applyAlignment="1">
      <alignment horizontal="center"/>
    </xf>
  </cellXfs>
  <cellStyles count="6">
    <cellStyle name="gGridExColumnaDescripcionEN" xfId="5" xr:uid="{167E1886-943F-44B3-A352-053C218B5B87}"/>
    <cellStyle name="Hipervínculo" xfId="4" builtinId="8"/>
    <cellStyle name="Millares" xfId="2" builtinId="3"/>
    <cellStyle name="Moneda" xfId="1" builtinId="4"/>
    <cellStyle name="Normal" xfId="0" builtinId="0"/>
    <cellStyle name="Porcentaje" xfId="3"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9933"/>
      <color rgb="FFFCF600"/>
      <color rgb="FFFFC5C5"/>
      <color rgb="FFD6F2D6"/>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171450</xdr:rowOff>
        </xdr:from>
        <xdr:to>
          <xdr:col>1</xdr:col>
          <xdr:colOff>781050</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4</xdr:col>
          <xdr:colOff>1428750</xdr:colOff>
          <xdr:row>6</xdr:row>
          <xdr:rowOff>38100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GUARDAR EN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3</xdr:row>
          <xdr:rowOff>171450</xdr:rowOff>
        </xdr:from>
        <xdr:to>
          <xdr:col>2</xdr:col>
          <xdr:colOff>1266825</xdr:colOff>
          <xdr:row>6</xdr:row>
          <xdr:rowOff>19050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GUARDAR COMO</a:t>
              </a:r>
            </a:p>
          </xdr:txBody>
        </xdr:sp>
        <xdr:clientData fPrintsWithSheet="0"/>
      </xdr:twoCellAnchor>
    </mc:Choice>
    <mc:Fallback/>
  </mc:AlternateContent>
  <xdr:twoCellAnchor editAs="oneCell">
    <xdr:from>
      <xdr:col>2</xdr:col>
      <xdr:colOff>1523996</xdr:colOff>
      <xdr:row>0</xdr:row>
      <xdr:rowOff>31750</xdr:rowOff>
    </xdr:from>
    <xdr:to>
      <xdr:col>5</xdr:col>
      <xdr:colOff>13119</xdr:colOff>
      <xdr:row>2</xdr:row>
      <xdr:rowOff>19685</xdr:rowOff>
    </xdr:to>
    <xdr:pic>
      <xdr:nvPicPr>
        <xdr:cNvPr id="6" name="Imagen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stretch>
          <a:fillRect/>
        </a:stretch>
      </xdr:blipFill>
      <xdr:spPr>
        <a:xfrm>
          <a:off x="3852329" y="31750"/>
          <a:ext cx="2256790" cy="527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466725</xdr:colOff>
      <xdr:row>0</xdr:row>
      <xdr:rowOff>0</xdr:rowOff>
    </xdr:from>
    <xdr:to>
      <xdr:col>9</xdr:col>
      <xdr:colOff>628015</xdr:colOff>
      <xdr:row>2</xdr:row>
      <xdr:rowOff>146685</xdr:rowOff>
    </xdr:to>
    <xdr:pic>
      <xdr:nvPicPr>
        <xdr:cNvPr id="4" name="Imagen 3">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stretch>
          <a:fillRect/>
        </a:stretch>
      </xdr:blipFill>
      <xdr:spPr>
        <a:xfrm>
          <a:off x="6886575" y="0"/>
          <a:ext cx="2256790" cy="527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1362075</xdr:colOff>
      <xdr:row>0</xdr:row>
      <xdr:rowOff>0</xdr:rowOff>
    </xdr:from>
    <xdr:to>
      <xdr:col>7</xdr:col>
      <xdr:colOff>1750408</xdr:colOff>
      <xdr:row>3</xdr:row>
      <xdr:rowOff>197485</xdr:rowOff>
    </xdr:to>
    <xdr:pic>
      <xdr:nvPicPr>
        <xdr:cNvPr id="17" name="Imagen 16">
          <a:extLst>
            <a:ext uri="{FF2B5EF4-FFF2-40B4-BE49-F238E27FC236}">
              <a16:creationId xmlns:a16="http://schemas.microsoft.com/office/drawing/2014/main" id="{00000000-0008-0000-0500-000011000000}"/>
            </a:ext>
          </a:extLst>
        </xdr:cNvPr>
        <xdr:cNvPicPr/>
      </xdr:nvPicPr>
      <xdr:blipFill>
        <a:blip xmlns:r="http://schemas.openxmlformats.org/officeDocument/2006/relationships" r:embed="rId1"/>
        <a:stretch>
          <a:fillRect/>
        </a:stretch>
      </xdr:blipFill>
      <xdr:spPr>
        <a:xfrm>
          <a:off x="8374856" y="0"/>
          <a:ext cx="3995927" cy="93011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95250</xdr:colOff>
          <xdr:row>6</xdr:row>
          <xdr:rowOff>38100</xdr:rowOff>
        </xdr:from>
        <xdr:to>
          <xdr:col>1</xdr:col>
          <xdr:colOff>400050</xdr:colOff>
          <xdr:row>7</xdr:row>
          <xdr:rowOff>38100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6</xdr:row>
          <xdr:rowOff>38100</xdr:rowOff>
        </xdr:from>
        <xdr:to>
          <xdr:col>5</xdr:col>
          <xdr:colOff>361950</xdr:colOff>
          <xdr:row>7</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29</xdr:row>
          <xdr:rowOff>47625</xdr:rowOff>
        </xdr:from>
        <xdr:to>
          <xdr:col>0</xdr:col>
          <xdr:colOff>438150</xdr:colOff>
          <xdr:row>30</xdr:row>
          <xdr:rowOff>19050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5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29</xdr:row>
          <xdr:rowOff>57150</xdr:rowOff>
        </xdr:from>
        <xdr:to>
          <xdr:col>5</xdr:col>
          <xdr:colOff>352425</xdr:colOff>
          <xdr:row>30</xdr:row>
          <xdr:rowOff>28575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71</xdr:row>
          <xdr:rowOff>66675</xdr:rowOff>
        </xdr:from>
        <xdr:to>
          <xdr:col>2</xdr:col>
          <xdr:colOff>352425</xdr:colOff>
          <xdr:row>71</xdr:row>
          <xdr:rowOff>285750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71</xdr:row>
          <xdr:rowOff>66675</xdr:rowOff>
        </xdr:from>
        <xdr:to>
          <xdr:col>3</xdr:col>
          <xdr:colOff>381000</xdr:colOff>
          <xdr:row>71</xdr:row>
          <xdr:rowOff>285750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40</xdr:row>
          <xdr:rowOff>28575</xdr:rowOff>
        </xdr:from>
        <xdr:to>
          <xdr:col>6</xdr:col>
          <xdr:colOff>714375</xdr:colOff>
          <xdr:row>41</xdr:row>
          <xdr:rowOff>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40</xdr:row>
          <xdr:rowOff>28575</xdr:rowOff>
        </xdr:from>
        <xdr:to>
          <xdr:col>7</xdr:col>
          <xdr:colOff>390525</xdr:colOff>
          <xdr:row>41</xdr:row>
          <xdr:rowOff>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5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42</xdr:row>
          <xdr:rowOff>0</xdr:rowOff>
        </xdr:from>
        <xdr:to>
          <xdr:col>1</xdr:col>
          <xdr:colOff>600075</xdr:colOff>
          <xdr:row>42</xdr:row>
          <xdr:rowOff>219075</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5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42</xdr:row>
          <xdr:rowOff>19050</xdr:rowOff>
        </xdr:from>
        <xdr:to>
          <xdr:col>4</xdr:col>
          <xdr:colOff>38100</xdr:colOff>
          <xdr:row>43</xdr:row>
          <xdr:rowOff>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4558390</xdr:colOff>
      <xdr:row>0</xdr:row>
      <xdr:rowOff>462642</xdr:rowOff>
    </xdr:from>
    <xdr:to>
      <xdr:col>4</xdr:col>
      <xdr:colOff>220887</xdr:colOff>
      <xdr:row>3</xdr:row>
      <xdr:rowOff>160110</xdr:rowOff>
    </xdr:to>
    <xdr:pic>
      <xdr:nvPicPr>
        <xdr:cNvPr id="3" name="Imagen 2">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stretch>
          <a:fillRect/>
        </a:stretch>
      </xdr:blipFill>
      <xdr:spPr>
        <a:xfrm>
          <a:off x="6994069" y="462642"/>
          <a:ext cx="2721429" cy="666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44450</xdr:colOff>
      <xdr:row>0</xdr:row>
      <xdr:rowOff>61912</xdr:rowOff>
    </xdr:from>
    <xdr:to>
      <xdr:col>1</xdr:col>
      <xdr:colOff>1502496</xdr:colOff>
      <xdr:row>3</xdr:row>
      <xdr:rowOff>106362</xdr:rowOff>
    </xdr:to>
    <xdr:pic>
      <xdr:nvPicPr>
        <xdr:cNvPr id="2" name="Imagen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stretch>
          <a:fillRect/>
        </a:stretch>
      </xdr:blipFill>
      <xdr:spPr>
        <a:xfrm>
          <a:off x="44450" y="61912"/>
          <a:ext cx="2578821"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1157967</xdr:colOff>
      <xdr:row>0</xdr:row>
      <xdr:rowOff>13607</xdr:rowOff>
    </xdr:from>
    <xdr:to>
      <xdr:col>7</xdr:col>
      <xdr:colOff>1554125</xdr:colOff>
      <xdr:row>4</xdr:row>
      <xdr:rowOff>3129</xdr:rowOff>
    </xdr:to>
    <xdr:pic>
      <xdr:nvPicPr>
        <xdr:cNvPr id="2" name="Imagen 16">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stretch>
          <a:fillRect/>
        </a:stretch>
      </xdr:blipFill>
      <xdr:spPr>
        <a:xfrm>
          <a:off x="8387442" y="13607"/>
          <a:ext cx="3996608" cy="94202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1525360</xdr:colOff>
      <xdr:row>0</xdr:row>
      <xdr:rowOff>40821</xdr:rowOff>
    </xdr:from>
    <xdr:to>
      <xdr:col>7</xdr:col>
      <xdr:colOff>1911993</xdr:colOff>
      <xdr:row>4</xdr:row>
      <xdr:rowOff>30343</xdr:rowOff>
    </xdr:to>
    <xdr:pic>
      <xdr:nvPicPr>
        <xdr:cNvPr id="2" name="Imagen 16">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a:fillRect/>
        </a:stretch>
      </xdr:blipFill>
      <xdr:spPr>
        <a:xfrm>
          <a:off x="8614681" y="40821"/>
          <a:ext cx="3992526" cy="9420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22</xdr:row>
          <xdr:rowOff>38100</xdr:rowOff>
        </xdr:from>
        <xdr:to>
          <xdr:col>1</xdr:col>
          <xdr:colOff>581025</xdr:colOff>
          <xdr:row>22</xdr:row>
          <xdr:rowOff>257175</xdr:rowOff>
        </xdr:to>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A00-00000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22</xdr:row>
          <xdr:rowOff>38100</xdr:rowOff>
        </xdr:from>
        <xdr:to>
          <xdr:col>3</xdr:col>
          <xdr:colOff>581025</xdr:colOff>
          <xdr:row>22</xdr:row>
          <xdr:rowOff>257175</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A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22</xdr:row>
          <xdr:rowOff>38100</xdr:rowOff>
        </xdr:from>
        <xdr:to>
          <xdr:col>5</xdr:col>
          <xdr:colOff>581025</xdr:colOff>
          <xdr:row>22</xdr:row>
          <xdr:rowOff>257175</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0A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22</xdr:row>
          <xdr:rowOff>38100</xdr:rowOff>
        </xdr:from>
        <xdr:to>
          <xdr:col>6</xdr:col>
          <xdr:colOff>581025</xdr:colOff>
          <xdr:row>22</xdr:row>
          <xdr:rowOff>257175</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0A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38100</xdr:rowOff>
        </xdr:from>
        <xdr:to>
          <xdr:col>1</xdr:col>
          <xdr:colOff>581025</xdr:colOff>
          <xdr:row>23</xdr:row>
          <xdr:rowOff>257175</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0A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38100</xdr:rowOff>
        </xdr:from>
        <xdr:to>
          <xdr:col>3</xdr:col>
          <xdr:colOff>581025</xdr:colOff>
          <xdr:row>23</xdr:row>
          <xdr:rowOff>257175</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0A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5</xdr:col>
      <xdr:colOff>1443717</xdr:colOff>
      <xdr:row>0</xdr:row>
      <xdr:rowOff>0</xdr:rowOff>
    </xdr:from>
    <xdr:to>
      <xdr:col>7</xdr:col>
      <xdr:colOff>1830350</xdr:colOff>
      <xdr:row>3</xdr:row>
      <xdr:rowOff>207236</xdr:rowOff>
    </xdr:to>
    <xdr:pic>
      <xdr:nvPicPr>
        <xdr:cNvPr id="2" name="Imagen 16">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stretch>
          <a:fillRect/>
        </a:stretch>
      </xdr:blipFill>
      <xdr:spPr>
        <a:xfrm>
          <a:off x="8247288" y="0"/>
          <a:ext cx="3992526" cy="9420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26</xdr:row>
          <xdr:rowOff>38100</xdr:rowOff>
        </xdr:from>
        <xdr:to>
          <xdr:col>1</xdr:col>
          <xdr:colOff>581025</xdr:colOff>
          <xdr:row>26</xdr:row>
          <xdr:rowOff>257175</xdr:rowOff>
        </xdr:to>
        <xdr:sp macro="" textlink="">
          <xdr:nvSpPr>
            <xdr:cNvPr id="41985" name="Check Box 1" hidden="1">
              <a:extLst>
                <a:ext uri="{63B3BB69-23CF-44E3-9099-C40C66FF867C}">
                  <a14:compatExt spid="_x0000_s41985"/>
                </a:ext>
                <a:ext uri="{FF2B5EF4-FFF2-40B4-BE49-F238E27FC236}">
                  <a16:creationId xmlns:a16="http://schemas.microsoft.com/office/drawing/2014/main" id="{00000000-0008-0000-0B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26</xdr:row>
          <xdr:rowOff>38100</xdr:rowOff>
        </xdr:from>
        <xdr:to>
          <xdr:col>3</xdr:col>
          <xdr:colOff>581025</xdr:colOff>
          <xdr:row>26</xdr:row>
          <xdr:rowOff>257175</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0B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38100</xdr:rowOff>
        </xdr:from>
        <xdr:to>
          <xdr:col>5</xdr:col>
          <xdr:colOff>581025</xdr:colOff>
          <xdr:row>26</xdr:row>
          <xdr:rowOff>257175</xdr:rowOff>
        </xdr:to>
        <xdr:sp macro="" textlink="">
          <xdr:nvSpPr>
            <xdr:cNvPr id="41987" name="Check Box 3" hidden="1">
              <a:extLst>
                <a:ext uri="{63B3BB69-23CF-44E3-9099-C40C66FF867C}">
                  <a14:compatExt spid="_x0000_s41987"/>
                </a:ext>
                <a:ext uri="{FF2B5EF4-FFF2-40B4-BE49-F238E27FC236}">
                  <a16:creationId xmlns:a16="http://schemas.microsoft.com/office/drawing/2014/main" id="{00000000-0008-0000-0B00-00000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26</xdr:row>
          <xdr:rowOff>38100</xdr:rowOff>
        </xdr:from>
        <xdr:to>
          <xdr:col>6</xdr:col>
          <xdr:colOff>581025</xdr:colOff>
          <xdr:row>26</xdr:row>
          <xdr:rowOff>257175</xdr:rowOff>
        </xdr:to>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0B00-00000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38100</xdr:rowOff>
        </xdr:from>
        <xdr:to>
          <xdr:col>1</xdr:col>
          <xdr:colOff>581025</xdr:colOff>
          <xdr:row>27</xdr:row>
          <xdr:rowOff>257175</xdr:rowOff>
        </xdr:to>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0B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27</xdr:row>
          <xdr:rowOff>38100</xdr:rowOff>
        </xdr:from>
        <xdr:to>
          <xdr:col>3</xdr:col>
          <xdr:colOff>581025</xdr:colOff>
          <xdr:row>27</xdr:row>
          <xdr:rowOff>257175</xdr:rowOff>
        </xdr:to>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0B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5</xdr:col>
      <xdr:colOff>1443717</xdr:colOff>
      <xdr:row>0</xdr:row>
      <xdr:rowOff>0</xdr:rowOff>
    </xdr:from>
    <xdr:to>
      <xdr:col>7</xdr:col>
      <xdr:colOff>1830350</xdr:colOff>
      <xdr:row>3</xdr:row>
      <xdr:rowOff>207236</xdr:rowOff>
    </xdr:to>
    <xdr:pic>
      <xdr:nvPicPr>
        <xdr:cNvPr id="2" name="Imagen 16">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stretch>
          <a:fillRect/>
        </a:stretch>
      </xdr:blipFill>
      <xdr:spPr>
        <a:xfrm>
          <a:off x="8244567" y="0"/>
          <a:ext cx="3996608" cy="94066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161925</xdr:colOff>
          <xdr:row>26</xdr:row>
          <xdr:rowOff>38100</xdr:rowOff>
        </xdr:from>
        <xdr:to>
          <xdr:col>1</xdr:col>
          <xdr:colOff>581025</xdr:colOff>
          <xdr:row>26</xdr:row>
          <xdr:rowOff>257175</xdr:rowOff>
        </xdr:to>
        <xdr:sp macro="" textlink="">
          <xdr:nvSpPr>
            <xdr:cNvPr id="43009" name="Check Box 1" hidden="1">
              <a:extLst>
                <a:ext uri="{63B3BB69-23CF-44E3-9099-C40C66FF867C}">
                  <a14:compatExt spid="_x0000_s43009"/>
                </a:ext>
                <a:ext uri="{FF2B5EF4-FFF2-40B4-BE49-F238E27FC236}">
                  <a16:creationId xmlns:a16="http://schemas.microsoft.com/office/drawing/2014/main" id="{00000000-0008-0000-0C00-000001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26</xdr:row>
          <xdr:rowOff>38100</xdr:rowOff>
        </xdr:from>
        <xdr:to>
          <xdr:col>3</xdr:col>
          <xdr:colOff>581025</xdr:colOff>
          <xdr:row>26</xdr:row>
          <xdr:rowOff>257175</xdr:rowOff>
        </xdr:to>
        <xdr:sp macro="" textlink="">
          <xdr:nvSpPr>
            <xdr:cNvPr id="43010" name="Check Box 2" hidden="1">
              <a:extLst>
                <a:ext uri="{63B3BB69-23CF-44E3-9099-C40C66FF867C}">
                  <a14:compatExt spid="_x0000_s43010"/>
                </a:ext>
                <a:ext uri="{FF2B5EF4-FFF2-40B4-BE49-F238E27FC236}">
                  <a16:creationId xmlns:a16="http://schemas.microsoft.com/office/drawing/2014/main" id="{00000000-0008-0000-0C00-000002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38100</xdr:rowOff>
        </xdr:from>
        <xdr:to>
          <xdr:col>5</xdr:col>
          <xdr:colOff>581025</xdr:colOff>
          <xdr:row>26</xdr:row>
          <xdr:rowOff>257175</xdr:rowOff>
        </xdr:to>
        <xdr:sp macro="" textlink="">
          <xdr:nvSpPr>
            <xdr:cNvPr id="43011" name="Check Box 3" hidden="1">
              <a:extLst>
                <a:ext uri="{63B3BB69-23CF-44E3-9099-C40C66FF867C}">
                  <a14:compatExt spid="_x0000_s43011"/>
                </a:ext>
                <a:ext uri="{FF2B5EF4-FFF2-40B4-BE49-F238E27FC236}">
                  <a16:creationId xmlns:a16="http://schemas.microsoft.com/office/drawing/2014/main" id="{00000000-0008-0000-0C00-000003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26</xdr:row>
          <xdr:rowOff>38100</xdr:rowOff>
        </xdr:from>
        <xdr:to>
          <xdr:col>6</xdr:col>
          <xdr:colOff>581025</xdr:colOff>
          <xdr:row>26</xdr:row>
          <xdr:rowOff>257175</xdr:rowOff>
        </xdr:to>
        <xdr:sp macro="" textlink="">
          <xdr:nvSpPr>
            <xdr:cNvPr id="43012" name="Check Box 4" hidden="1">
              <a:extLst>
                <a:ext uri="{63B3BB69-23CF-44E3-9099-C40C66FF867C}">
                  <a14:compatExt spid="_x0000_s43012"/>
                </a:ext>
                <a:ext uri="{FF2B5EF4-FFF2-40B4-BE49-F238E27FC236}">
                  <a16:creationId xmlns:a16="http://schemas.microsoft.com/office/drawing/2014/main" id="{00000000-0008-0000-0C00-000004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38100</xdr:rowOff>
        </xdr:from>
        <xdr:to>
          <xdr:col>1</xdr:col>
          <xdr:colOff>581025</xdr:colOff>
          <xdr:row>27</xdr:row>
          <xdr:rowOff>257175</xdr:rowOff>
        </xdr:to>
        <xdr:sp macro="" textlink="">
          <xdr:nvSpPr>
            <xdr:cNvPr id="43013" name="Check Box 5" hidden="1">
              <a:extLst>
                <a:ext uri="{63B3BB69-23CF-44E3-9099-C40C66FF867C}">
                  <a14:compatExt spid="_x0000_s43013"/>
                </a:ext>
                <a:ext uri="{FF2B5EF4-FFF2-40B4-BE49-F238E27FC236}">
                  <a16:creationId xmlns:a16="http://schemas.microsoft.com/office/drawing/2014/main" id="{00000000-0008-0000-0C00-000005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27</xdr:row>
          <xdr:rowOff>38100</xdr:rowOff>
        </xdr:from>
        <xdr:to>
          <xdr:col>3</xdr:col>
          <xdr:colOff>581025</xdr:colOff>
          <xdr:row>27</xdr:row>
          <xdr:rowOff>257175</xdr:rowOff>
        </xdr:to>
        <xdr:sp macro="" textlink="">
          <xdr:nvSpPr>
            <xdr:cNvPr id="43014" name="Check Box 6" hidden="1">
              <a:extLst>
                <a:ext uri="{63B3BB69-23CF-44E3-9099-C40C66FF867C}">
                  <a14:compatExt spid="_x0000_s43014"/>
                </a:ext>
                <a:ext uri="{FF2B5EF4-FFF2-40B4-BE49-F238E27FC236}">
                  <a16:creationId xmlns:a16="http://schemas.microsoft.com/office/drawing/2014/main" id="{00000000-0008-0000-0C00-000006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1390650</xdr:colOff>
      <xdr:row>0</xdr:row>
      <xdr:rowOff>0</xdr:rowOff>
    </xdr:from>
    <xdr:to>
      <xdr:col>8</xdr:col>
      <xdr:colOff>1085215</xdr:colOff>
      <xdr:row>2</xdr:row>
      <xdr:rowOff>13335</xdr:rowOff>
    </xdr:to>
    <xdr:pic>
      <xdr:nvPicPr>
        <xdr:cNvPr id="4" name="Imagen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stretch>
          <a:fillRect/>
        </a:stretch>
      </xdr:blipFill>
      <xdr:spPr>
        <a:xfrm>
          <a:off x="7962900" y="0"/>
          <a:ext cx="2256790" cy="52768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1157967</xdr:colOff>
      <xdr:row>0</xdr:row>
      <xdr:rowOff>13607</xdr:rowOff>
    </xdr:from>
    <xdr:to>
      <xdr:col>8</xdr:col>
      <xdr:colOff>67772</xdr:colOff>
      <xdr:row>4</xdr:row>
      <xdr:rowOff>3129</xdr:rowOff>
    </xdr:to>
    <xdr:pic>
      <xdr:nvPicPr>
        <xdr:cNvPr id="2" name="Imagen 16">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a:stretch>
          <a:fillRect/>
        </a:stretch>
      </xdr:blipFill>
      <xdr:spPr>
        <a:xfrm>
          <a:off x="8511267" y="13607"/>
          <a:ext cx="3996608" cy="94202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1157967</xdr:colOff>
      <xdr:row>0</xdr:row>
      <xdr:rowOff>13607</xdr:rowOff>
    </xdr:from>
    <xdr:to>
      <xdr:col>7</xdr:col>
      <xdr:colOff>1639850</xdr:colOff>
      <xdr:row>4</xdr:row>
      <xdr:rowOff>3129</xdr:rowOff>
    </xdr:to>
    <xdr:pic>
      <xdr:nvPicPr>
        <xdr:cNvPr id="2" name="Imagen 16">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stretch>
          <a:fillRect/>
        </a:stretch>
      </xdr:blipFill>
      <xdr:spPr>
        <a:xfrm>
          <a:off x="8568417" y="13607"/>
          <a:ext cx="3989805" cy="94202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3769178</xdr:colOff>
      <xdr:row>1</xdr:row>
      <xdr:rowOff>0</xdr:rowOff>
    </xdr:from>
    <xdr:to>
      <xdr:col>4</xdr:col>
      <xdr:colOff>204107</xdr:colOff>
      <xdr:row>4</xdr:row>
      <xdr:rowOff>13607</xdr:rowOff>
    </xdr:to>
    <xdr:pic>
      <xdr:nvPicPr>
        <xdr:cNvPr id="3" name="Imagen 2">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stretch>
          <a:fillRect/>
        </a:stretch>
      </xdr:blipFill>
      <xdr:spPr>
        <a:xfrm>
          <a:off x="6204857" y="585107"/>
          <a:ext cx="2721429" cy="6667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400050</xdr:colOff>
      <xdr:row>0</xdr:row>
      <xdr:rowOff>19050</xdr:rowOff>
    </xdr:from>
    <xdr:to>
      <xdr:col>12</xdr:col>
      <xdr:colOff>1064079</xdr:colOff>
      <xdr:row>1</xdr:row>
      <xdr:rowOff>95250</xdr:rowOff>
    </xdr:to>
    <xdr:pic>
      <xdr:nvPicPr>
        <xdr:cNvPr id="4" name="Imagen 3">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stretch>
          <a:fillRect/>
        </a:stretch>
      </xdr:blipFill>
      <xdr:spPr>
        <a:xfrm>
          <a:off x="7229475" y="19050"/>
          <a:ext cx="2721429" cy="666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4" name="Imagen 3">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4" name="Imagen 3">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339915</xdr:colOff>
      <xdr:row>0</xdr:row>
      <xdr:rowOff>171823</xdr:rowOff>
    </xdr:from>
    <xdr:to>
      <xdr:col>9</xdr:col>
      <xdr:colOff>67237</xdr:colOff>
      <xdr:row>0</xdr:row>
      <xdr:rowOff>552822</xdr:rowOff>
    </xdr:to>
    <xdr:pic>
      <xdr:nvPicPr>
        <xdr:cNvPr id="4" name="Imagen 3">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stretch>
          <a:fillRect/>
        </a:stretch>
      </xdr:blipFill>
      <xdr:spPr>
        <a:xfrm>
          <a:off x="6637621" y="171823"/>
          <a:ext cx="1281204" cy="3809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6" tint="-0.249977111117893"/>
    <pageSetUpPr fitToPage="1"/>
  </sheetPr>
  <dimension ref="A1:K133"/>
  <sheetViews>
    <sheetView showZeros="0" zoomScale="90" zoomScaleNormal="90" workbookViewId="0">
      <selection activeCell="C10" sqref="C10"/>
    </sheetView>
  </sheetViews>
  <sheetFormatPr baseColWidth="10" defaultColWidth="11.42578125" defaultRowHeight="15"/>
  <cols>
    <col min="1" max="1" width="4.7109375" customWidth="1" collapsed="1"/>
    <col min="2" max="3" width="30.140625" customWidth="1" collapsed="1"/>
    <col min="4" max="4" width="4.7109375" customWidth="1" collapsed="1"/>
    <col min="5" max="5" width="21.5703125" customWidth="1" collapsed="1"/>
    <col min="6" max="7" width="21.42578125" customWidth="1" collapsed="1"/>
    <col min="8" max="8" width="16.28515625" customWidth="1" collapsed="1"/>
    <col min="9" max="9" width="33.5703125" bestFit="1" customWidth="1" collapsed="1"/>
    <col min="10" max="11" width="17.7109375" customWidth="1" collapsed="1"/>
  </cols>
  <sheetData>
    <row r="1" spans="1:11" ht="23.25">
      <c r="A1" s="42" t="s">
        <v>0</v>
      </c>
    </row>
    <row r="2" spans="1:11" ht="18.75">
      <c r="A2" s="1" t="s">
        <v>1350</v>
      </c>
    </row>
    <row r="9" spans="1:11">
      <c r="A9" s="331" t="s">
        <v>95</v>
      </c>
      <c r="B9" s="331"/>
      <c r="C9" s="331"/>
      <c r="D9" s="331"/>
      <c r="E9" s="331"/>
      <c r="F9" s="84"/>
      <c r="G9" s="331" t="s">
        <v>1415</v>
      </c>
      <c r="H9" s="331"/>
      <c r="I9" s="331"/>
      <c r="J9" s="331"/>
      <c r="K9" s="331"/>
    </row>
    <row r="10" spans="1:11">
      <c r="A10" s="316" t="s">
        <v>1358</v>
      </c>
      <c r="B10" s="317"/>
      <c r="C10" s="246" t="str">
        <f>+IF($C$11="TUMBA MUERTO",$A$1,IF($C$11="VÍA ISRAEL",$A$1,IF($C$11="CHORRERA",$A$1,IF($C$11="DAVID",$A$1,""))))</f>
        <v/>
      </c>
      <c r="D10" s="67"/>
      <c r="E10" s="68"/>
      <c r="F10" s="70"/>
      <c r="G10" s="331" t="s">
        <v>1397</v>
      </c>
      <c r="H10" s="331"/>
      <c r="I10" s="331"/>
      <c r="J10" s="331"/>
      <c r="K10" s="331"/>
    </row>
    <row r="11" spans="1:11">
      <c r="A11" s="316" t="s">
        <v>185</v>
      </c>
      <c r="B11" s="317"/>
      <c r="C11" s="97"/>
      <c r="D11" s="67"/>
      <c r="E11" s="68"/>
      <c r="F11" s="70"/>
      <c r="G11" s="316" t="s">
        <v>41</v>
      </c>
      <c r="H11" s="317"/>
      <c r="I11" s="98"/>
      <c r="J11" s="150"/>
      <c r="K11" s="151"/>
    </row>
    <row r="12" spans="1:11">
      <c r="A12" s="318" t="s">
        <v>186</v>
      </c>
      <c r="B12" s="319"/>
      <c r="C12" s="241" t="str">
        <f>+IF($C$11="TUMBA MUERTO",DATOS!$B$2,IF($C$11="VÍA ISRAEL",DATOS!$B$2,IF($C$11="CHORRERA",DATOS!$B$2,IF($C$11="DAVID",DATOS!$B$2,""))))</f>
        <v/>
      </c>
      <c r="D12" s="61"/>
      <c r="E12" s="62"/>
      <c r="F12" s="70"/>
      <c r="G12" s="316" t="s">
        <v>1394</v>
      </c>
      <c r="H12" s="317"/>
      <c r="I12" s="141"/>
      <c r="J12" s="153"/>
      <c r="K12" s="153"/>
    </row>
    <row r="13" spans="1:11">
      <c r="A13" s="318" t="s">
        <v>172</v>
      </c>
      <c r="B13" s="319"/>
      <c r="C13" s="98"/>
      <c r="D13" s="87"/>
      <c r="E13" s="88"/>
      <c r="F13" s="80"/>
      <c r="G13" s="318" t="s">
        <v>1395</v>
      </c>
      <c r="H13" s="319"/>
      <c r="I13" s="141"/>
      <c r="J13" s="153"/>
      <c r="K13" s="153"/>
    </row>
    <row r="14" spans="1:11">
      <c r="A14" s="318" t="s">
        <v>1706</v>
      </c>
      <c r="B14" s="319"/>
      <c r="C14" s="132"/>
      <c r="D14" s="61"/>
      <c r="E14" s="62"/>
      <c r="F14" s="70"/>
      <c r="G14" s="318" t="s">
        <v>1396</v>
      </c>
      <c r="H14" s="319"/>
      <c r="I14" s="141"/>
      <c r="J14" s="151"/>
      <c r="K14" s="151"/>
    </row>
    <row r="15" spans="1:11">
      <c r="A15" s="318" t="s">
        <v>156</v>
      </c>
      <c r="B15" s="319"/>
      <c r="C15" s="132"/>
      <c r="D15" s="61"/>
      <c r="E15" s="62"/>
      <c r="F15" s="70"/>
      <c r="G15" s="318" t="s">
        <v>1399</v>
      </c>
      <c r="H15" s="319"/>
      <c r="I15" s="158"/>
      <c r="J15" s="147"/>
      <c r="K15" s="148"/>
    </row>
    <row r="16" spans="1:11">
      <c r="A16" s="318" t="s">
        <v>157</v>
      </c>
      <c r="B16" s="319"/>
      <c r="C16" s="241" t="str">
        <f>+IF($C$11="TUMBA MUERTO",DATOS!$E$3,IF($C$11="VÍA ISRAEL",DATOS!$E$2,IF($C$11="CHORRERA",DATOS!$E$4,IF($C$11="DAVID",DATOS!$E$5,""))))</f>
        <v/>
      </c>
      <c r="D16" s="61"/>
      <c r="E16" s="62"/>
      <c r="F16" s="70"/>
      <c r="G16" s="331" t="s">
        <v>1398</v>
      </c>
      <c r="H16" s="331"/>
      <c r="I16" s="331"/>
      <c r="J16" s="331"/>
      <c r="K16" s="331"/>
    </row>
    <row r="17" spans="1:11">
      <c r="A17" s="336" t="s">
        <v>1400</v>
      </c>
      <c r="B17" s="337"/>
      <c r="C17" s="241" t="str">
        <f>+IF($C$11="TUMBA MUERTO",DATOS!$E$8,IF($C$11="VÍA ISRAEL",DATOS!$E$8,IF($C$11="CHORRERA",DATOS!$E$8,IF($C$11="DAVID",DATOS!$E$8,""))))</f>
        <v/>
      </c>
      <c r="D17" s="61"/>
      <c r="E17" s="62"/>
      <c r="F17" s="70"/>
      <c r="G17" s="316" t="s">
        <v>41</v>
      </c>
      <c r="H17" s="317"/>
      <c r="I17" s="98"/>
      <c r="J17" s="143"/>
      <c r="K17" s="144"/>
    </row>
    <row r="18" spans="1:11">
      <c r="A18" s="324" t="s">
        <v>173</v>
      </c>
      <c r="B18" s="325"/>
      <c r="C18" s="325"/>
      <c r="D18" s="325"/>
      <c r="E18" s="326"/>
      <c r="F18" s="84"/>
      <c r="G18" s="316" t="s">
        <v>1402</v>
      </c>
      <c r="H18" s="317"/>
      <c r="I18" s="132"/>
      <c r="J18" s="97"/>
      <c r="K18" s="140"/>
    </row>
    <row r="19" spans="1:11">
      <c r="A19" s="338" t="s">
        <v>39</v>
      </c>
      <c r="B19" s="339"/>
      <c r="C19" s="99"/>
      <c r="D19" s="67"/>
      <c r="E19" s="68"/>
      <c r="F19" s="70"/>
      <c r="G19" s="316" t="s">
        <v>1403</v>
      </c>
      <c r="H19" s="317"/>
      <c r="I19" s="132"/>
      <c r="J19" s="132"/>
      <c r="K19" s="141"/>
    </row>
    <row r="20" spans="1:11">
      <c r="A20" s="318" t="s">
        <v>40</v>
      </c>
      <c r="B20" s="319"/>
      <c r="C20" s="100"/>
      <c r="D20" s="61"/>
      <c r="E20" s="62"/>
      <c r="F20" s="70"/>
      <c r="G20" s="316" t="s">
        <v>1404</v>
      </c>
      <c r="H20" s="317"/>
      <c r="I20" s="132"/>
      <c r="J20" s="98"/>
      <c r="K20" s="142"/>
    </row>
    <row r="21" spans="1:11">
      <c r="A21" s="318" t="s">
        <v>42</v>
      </c>
      <c r="B21" s="319"/>
      <c r="C21" s="100"/>
      <c r="D21" s="87"/>
      <c r="E21" s="88"/>
      <c r="F21" s="70"/>
      <c r="G21" s="318" t="s">
        <v>1399</v>
      </c>
      <c r="H21" s="319"/>
      <c r="I21" s="158"/>
      <c r="J21" s="141"/>
      <c r="K21" s="141"/>
    </row>
    <row r="22" spans="1:11">
      <c r="A22" s="318" t="s">
        <v>34</v>
      </c>
      <c r="B22" s="319"/>
      <c r="C22" s="100"/>
      <c r="D22" s="61"/>
      <c r="E22" s="62"/>
      <c r="F22" s="70"/>
      <c r="G22" s="320" t="s">
        <v>1375</v>
      </c>
      <c r="H22" s="321"/>
      <c r="I22" s="321"/>
      <c r="J22" s="165"/>
      <c r="K22" s="165"/>
    </row>
    <row r="23" spans="1:11">
      <c r="A23" s="318" t="s">
        <v>64</v>
      </c>
      <c r="B23" s="319"/>
      <c r="C23" s="100"/>
      <c r="D23" s="61"/>
      <c r="E23" s="62"/>
      <c r="F23" s="70"/>
      <c r="G23" s="318" t="s">
        <v>1428</v>
      </c>
      <c r="H23" s="319"/>
      <c r="I23" s="167"/>
    </row>
    <row r="24" spans="1:11">
      <c r="A24" s="318" t="s">
        <v>67</v>
      </c>
      <c r="B24" s="319"/>
      <c r="C24" s="100"/>
      <c r="D24" s="61"/>
      <c r="E24" s="62"/>
      <c r="F24" s="70"/>
      <c r="G24" s="146" t="s">
        <v>1406</v>
      </c>
      <c r="H24" s="146"/>
      <c r="I24" s="242"/>
    </row>
    <row r="25" spans="1:11">
      <c r="A25" s="318" t="s">
        <v>66</v>
      </c>
      <c r="B25" s="319"/>
      <c r="C25" s="121"/>
      <c r="D25" s="61"/>
      <c r="E25" s="62"/>
      <c r="F25" s="70"/>
      <c r="G25" s="146" t="s">
        <v>1407</v>
      </c>
      <c r="H25" s="146"/>
      <c r="I25" s="166"/>
    </row>
    <row r="26" spans="1:11">
      <c r="A26" s="318" t="s">
        <v>65</v>
      </c>
      <c r="B26" s="319"/>
      <c r="C26" s="121"/>
      <c r="D26" s="67"/>
      <c r="E26" s="68"/>
      <c r="F26" s="70"/>
      <c r="G26" s="322" t="s">
        <v>1405</v>
      </c>
      <c r="H26" s="323"/>
      <c r="I26" s="167"/>
    </row>
    <row r="27" spans="1:11">
      <c r="A27" s="318" t="s">
        <v>174</v>
      </c>
      <c r="B27" s="319"/>
      <c r="C27" s="101"/>
      <c r="D27" s="61"/>
      <c r="E27" s="62"/>
      <c r="F27" s="85"/>
      <c r="G27" s="324" t="s">
        <v>1383</v>
      </c>
      <c r="H27" s="325"/>
      <c r="I27" s="326"/>
    </row>
    <row r="28" spans="1:11">
      <c r="A28" s="318" t="s">
        <v>1338</v>
      </c>
      <c r="B28" s="319"/>
      <c r="C28" s="100"/>
      <c r="D28" s="87"/>
      <c r="E28" s="88"/>
      <c r="F28" s="70"/>
      <c r="G28" s="322" t="s">
        <v>1408</v>
      </c>
      <c r="H28" s="323"/>
      <c r="I28" s="167" t="str">
        <f>+IF($C$13&gt;0,"SUCURSAL","")</f>
        <v/>
      </c>
    </row>
    <row r="29" spans="1:11">
      <c r="A29" s="336" t="s">
        <v>1363</v>
      </c>
      <c r="B29" s="337"/>
      <c r="C29" s="132"/>
      <c r="D29" s="61"/>
      <c r="E29" s="62"/>
      <c r="F29" s="39"/>
      <c r="G29" s="322" t="s">
        <v>1409</v>
      </c>
      <c r="H29" s="323"/>
      <c r="I29" s="167">
        <f>+C11</f>
        <v>0</v>
      </c>
    </row>
    <row r="30" spans="1:11">
      <c r="A30" s="324" t="s">
        <v>1341</v>
      </c>
      <c r="B30" s="325"/>
      <c r="C30" s="325"/>
      <c r="D30" s="325"/>
      <c r="E30" s="326"/>
      <c r="F30" s="84"/>
      <c r="G30" s="322" t="s">
        <v>1410</v>
      </c>
      <c r="H30" s="323"/>
      <c r="I30" s="167" t="str">
        <f>+C12</f>
        <v/>
      </c>
    </row>
    <row r="31" spans="1:11">
      <c r="A31" s="316" t="s">
        <v>96</v>
      </c>
      <c r="B31" s="317"/>
      <c r="C31" s="154"/>
      <c r="D31" s="102"/>
      <c r="E31" s="103"/>
      <c r="F31" s="70"/>
      <c r="G31" s="322" t="s">
        <v>1411</v>
      </c>
      <c r="H31" s="323"/>
      <c r="I31" s="167" t="str">
        <f>+C12</f>
        <v/>
      </c>
    </row>
    <row r="32" spans="1:11">
      <c r="A32" s="318" t="s">
        <v>97</v>
      </c>
      <c r="B32" s="319"/>
      <c r="C32" s="154"/>
      <c r="D32" s="104"/>
      <c r="E32" s="105"/>
      <c r="F32" s="70"/>
      <c r="G32" s="322" t="s">
        <v>1412</v>
      </c>
      <c r="H32" s="323"/>
      <c r="I32" s="167" t="str">
        <f>+IF(I29="VÍA ISRAEL",DATOS!A47,IF(I29="TUMBA MUERTO",DATOS!A46,""))</f>
        <v/>
      </c>
    </row>
    <row r="33" spans="1:11">
      <c r="A33" s="318" t="s">
        <v>98</v>
      </c>
      <c r="B33" s="319"/>
      <c r="C33" s="154"/>
      <c r="D33" s="102"/>
      <c r="E33" s="103"/>
      <c r="F33" s="70"/>
      <c r="G33" s="322" t="s">
        <v>1413</v>
      </c>
      <c r="H33" s="323"/>
      <c r="I33" s="167" t="str">
        <f>+IF(I15+I21&gt;0,"AUTOMARKET","")</f>
        <v/>
      </c>
    </row>
    <row r="34" spans="1:11">
      <c r="A34" s="318" t="s">
        <v>99</v>
      </c>
      <c r="B34" s="319"/>
      <c r="C34" s="154"/>
      <c r="D34" s="102"/>
      <c r="E34" s="103"/>
      <c r="F34" s="70"/>
      <c r="G34" s="329" t="s">
        <v>1414</v>
      </c>
      <c r="H34" s="330"/>
      <c r="I34" s="168" t="str">
        <f>+IF(I15+I21&gt;0,"PLANTA BAJA","")</f>
        <v/>
      </c>
    </row>
    <row r="35" spans="1:11">
      <c r="A35" s="318" t="s">
        <v>100</v>
      </c>
      <c r="B35" s="319"/>
      <c r="C35" s="154"/>
      <c r="D35" s="102"/>
      <c r="E35" s="103"/>
      <c r="F35" s="70"/>
      <c r="G35" s="335" t="s">
        <v>1387</v>
      </c>
      <c r="H35" s="335"/>
      <c r="I35" s="335"/>
    </row>
    <row r="36" spans="1:11">
      <c r="A36" s="333" t="s">
        <v>101</v>
      </c>
      <c r="B36" s="334"/>
      <c r="C36" s="155"/>
      <c r="D36" s="102"/>
      <c r="E36" s="103"/>
      <c r="F36" s="39"/>
      <c r="G36" s="332" t="s">
        <v>96</v>
      </c>
      <c r="H36" s="332"/>
      <c r="I36" s="167"/>
    </row>
    <row r="37" spans="1:11">
      <c r="A37" s="318" t="s">
        <v>1342</v>
      </c>
      <c r="B37" s="319"/>
      <c r="C37" s="156"/>
      <c r="D37" s="106"/>
      <c r="E37" s="107"/>
      <c r="F37" s="86"/>
      <c r="G37" s="332" t="s">
        <v>1462</v>
      </c>
      <c r="H37" s="332"/>
      <c r="I37" s="167"/>
    </row>
    <row r="38" spans="1:11">
      <c r="A38" s="318" t="s">
        <v>103</v>
      </c>
      <c r="B38" s="319"/>
      <c r="C38" s="154"/>
      <c r="D38" s="102"/>
      <c r="E38" s="103"/>
      <c r="F38" s="70"/>
      <c r="G38" s="332" t="s">
        <v>1463</v>
      </c>
      <c r="H38" s="332"/>
      <c r="I38" s="167"/>
    </row>
    <row r="39" spans="1:11">
      <c r="A39" s="318" t="s">
        <v>104</v>
      </c>
      <c r="B39" s="319"/>
      <c r="C39" s="154"/>
      <c r="D39" s="104"/>
      <c r="E39" s="105"/>
      <c r="F39" s="70"/>
      <c r="G39" s="332" t="s">
        <v>1406</v>
      </c>
      <c r="H39" s="332"/>
      <c r="I39" s="167"/>
    </row>
    <row r="40" spans="1:11">
      <c r="A40" s="318" t="s">
        <v>105</v>
      </c>
      <c r="B40" s="319"/>
      <c r="C40" s="156"/>
      <c r="D40" s="102"/>
      <c r="E40" s="103"/>
      <c r="F40" s="70"/>
      <c r="G40" s="332" t="s">
        <v>1407</v>
      </c>
      <c r="H40" s="332"/>
      <c r="I40" s="179"/>
    </row>
    <row r="41" spans="1:11">
      <c r="A41" s="318" t="s">
        <v>106</v>
      </c>
      <c r="B41" s="319"/>
      <c r="C41" s="154"/>
      <c r="D41" s="106"/>
      <c r="E41" s="107"/>
      <c r="F41" s="70"/>
      <c r="G41" s="332" t="s">
        <v>1410</v>
      </c>
      <c r="H41" s="332"/>
      <c r="I41" s="179"/>
    </row>
    <row r="42" spans="1:11">
      <c r="A42" s="318" t="s">
        <v>175</v>
      </c>
      <c r="B42" s="327"/>
      <c r="C42" s="155"/>
      <c r="D42" s="102"/>
      <c r="E42" s="103"/>
      <c r="F42" s="70"/>
      <c r="G42" s="332" t="s">
        <v>1411</v>
      </c>
      <c r="H42" s="332"/>
      <c r="I42" s="179"/>
    </row>
    <row r="43" spans="1:11">
      <c r="A43" s="332" t="s">
        <v>1426</v>
      </c>
      <c r="B43" s="332"/>
      <c r="C43" s="155"/>
      <c r="D43" s="102"/>
      <c r="E43" s="103"/>
      <c r="F43" s="70"/>
      <c r="G43" s="332" t="s">
        <v>1412</v>
      </c>
      <c r="H43" s="332"/>
      <c r="I43" s="166"/>
    </row>
    <row r="44" spans="1:11">
      <c r="A44" s="332" t="s">
        <v>1411</v>
      </c>
      <c r="B44" s="332"/>
      <c r="C44" s="155"/>
      <c r="D44" s="102"/>
      <c r="E44" s="103"/>
      <c r="F44" s="70"/>
      <c r="G44" s="332" t="s">
        <v>1425</v>
      </c>
      <c r="H44" s="332"/>
      <c r="I44" s="166"/>
    </row>
    <row r="45" spans="1:11">
      <c r="A45" s="315" t="s">
        <v>1412</v>
      </c>
      <c r="B45" s="315"/>
      <c r="C45" s="155"/>
      <c r="D45" s="102"/>
      <c r="E45" s="103"/>
      <c r="F45" s="70"/>
      <c r="G45" s="332" t="s">
        <v>1413</v>
      </c>
      <c r="H45" s="332"/>
      <c r="I45" s="166"/>
    </row>
    <row r="46" spans="1:11">
      <c r="A46" s="315" t="s">
        <v>1425</v>
      </c>
      <c r="B46" s="315"/>
      <c r="C46" s="155"/>
      <c r="D46" s="102"/>
      <c r="E46" s="103"/>
      <c r="F46" s="70"/>
      <c r="G46" s="332" t="s">
        <v>1424</v>
      </c>
      <c r="H46" s="332"/>
      <c r="I46" s="179"/>
    </row>
    <row r="47" spans="1:11">
      <c r="A47" s="315" t="s">
        <v>1413</v>
      </c>
      <c r="B47" s="315"/>
      <c r="C47" s="155"/>
      <c r="D47" s="102"/>
      <c r="E47" s="103"/>
      <c r="F47" s="70"/>
      <c r="G47" s="328" t="s">
        <v>173</v>
      </c>
      <c r="H47" s="328"/>
      <c r="I47" s="328"/>
      <c r="J47" s="328"/>
      <c r="K47" s="328"/>
    </row>
    <row r="48" spans="1:11">
      <c r="A48" s="315" t="s">
        <v>1424</v>
      </c>
      <c r="B48" s="315"/>
      <c r="C48" s="155"/>
      <c r="D48" s="102"/>
      <c r="E48" s="103"/>
      <c r="F48" s="70"/>
      <c r="G48" s="367" t="s">
        <v>39</v>
      </c>
      <c r="H48" s="368"/>
      <c r="I48" s="243">
        <f>+C19</f>
        <v>0</v>
      </c>
      <c r="J48" s="143"/>
      <c r="K48" s="144"/>
    </row>
    <row r="49" spans="1:11">
      <c r="A49" s="318" t="s">
        <v>109</v>
      </c>
      <c r="B49" s="319"/>
      <c r="C49" s="100"/>
      <c r="D49" s="61"/>
      <c r="E49" s="62"/>
      <c r="F49" s="70"/>
      <c r="G49" s="367" t="s">
        <v>40</v>
      </c>
      <c r="H49" s="368"/>
      <c r="I49" s="243">
        <f>+C20</f>
        <v>0</v>
      </c>
      <c r="J49" s="97"/>
      <c r="K49" s="140"/>
    </row>
    <row r="50" spans="1:11">
      <c r="A50" s="318" t="s">
        <v>110</v>
      </c>
      <c r="B50" s="319"/>
      <c r="C50" s="204"/>
      <c r="D50" s="61"/>
      <c r="E50" s="62"/>
      <c r="F50" s="70"/>
      <c r="G50" s="367" t="s">
        <v>42</v>
      </c>
      <c r="H50" s="368"/>
      <c r="I50" s="244">
        <f>+C21</f>
        <v>0</v>
      </c>
      <c r="J50" s="132"/>
      <c r="K50" s="141"/>
    </row>
    <row r="51" spans="1:11">
      <c r="A51" s="318" t="s">
        <v>111</v>
      </c>
      <c r="B51" s="319"/>
      <c r="C51" s="100"/>
      <c r="D51" s="61"/>
      <c r="E51" s="62"/>
      <c r="F51" s="70"/>
      <c r="G51" s="367" t="s">
        <v>1445</v>
      </c>
      <c r="H51" s="368"/>
      <c r="I51" s="244">
        <f>+C25</f>
        <v>0</v>
      </c>
      <c r="J51" s="98"/>
      <c r="K51" s="142"/>
    </row>
    <row r="52" spans="1:11">
      <c r="A52" s="318" t="s">
        <v>112</v>
      </c>
      <c r="B52" s="319"/>
      <c r="C52" s="100"/>
      <c r="D52" s="61"/>
      <c r="E52" s="62"/>
      <c r="F52" s="70"/>
      <c r="G52" s="367" t="s">
        <v>1446</v>
      </c>
      <c r="H52" s="368"/>
      <c r="I52" s="244">
        <f>+C26</f>
        <v>0</v>
      </c>
      <c r="J52" s="132"/>
      <c r="K52" s="141"/>
    </row>
    <row r="53" spans="1:11">
      <c r="A53" s="336" t="s">
        <v>113</v>
      </c>
      <c r="B53" s="337"/>
      <c r="C53" s="204"/>
      <c r="D53" s="67"/>
      <c r="E53" s="68"/>
      <c r="F53" s="70"/>
      <c r="G53" s="367" t="s">
        <v>1447</v>
      </c>
      <c r="H53" s="368"/>
      <c r="I53" s="243">
        <f>+C22</f>
        <v>0</v>
      </c>
      <c r="J53" s="132"/>
      <c r="K53" s="141"/>
    </row>
    <row r="54" spans="1:11">
      <c r="A54" s="324" t="s">
        <v>114</v>
      </c>
      <c r="B54" s="325"/>
      <c r="C54" s="325"/>
      <c r="D54" s="325"/>
      <c r="E54" s="326"/>
      <c r="F54" s="84"/>
      <c r="G54" s="367" t="s">
        <v>67</v>
      </c>
      <c r="H54" s="368"/>
      <c r="I54" s="243">
        <f>+C24</f>
        <v>0</v>
      </c>
      <c r="J54" s="132"/>
      <c r="K54" s="141"/>
    </row>
    <row r="55" spans="1:11">
      <c r="A55" s="316" t="s">
        <v>115</v>
      </c>
      <c r="B55" s="317"/>
      <c r="C55" s="108"/>
      <c r="D55" s="125"/>
      <c r="E55" s="126"/>
      <c r="F55" s="70"/>
    </row>
    <row r="56" spans="1:11">
      <c r="A56" s="318" t="s">
        <v>116</v>
      </c>
      <c r="B56" s="319"/>
      <c r="C56" s="108"/>
      <c r="D56" s="125"/>
      <c r="E56" s="126"/>
      <c r="F56" s="70"/>
      <c r="G56" s="70"/>
    </row>
    <row r="57" spans="1:11">
      <c r="A57" s="318" t="s">
        <v>117</v>
      </c>
      <c r="B57" s="319"/>
      <c r="C57" s="108"/>
      <c r="D57" s="125"/>
      <c r="E57" s="126"/>
      <c r="F57" s="70"/>
      <c r="G57" s="70"/>
    </row>
    <row r="58" spans="1:11" ht="55.5" customHeight="1">
      <c r="A58" s="333" t="s">
        <v>118</v>
      </c>
      <c r="B58" s="358"/>
      <c r="C58" s="369"/>
      <c r="D58" s="370"/>
      <c r="E58" s="371"/>
      <c r="F58" s="70"/>
      <c r="G58" s="70"/>
    </row>
    <row r="59" spans="1:11">
      <c r="A59" s="318" t="s">
        <v>109</v>
      </c>
      <c r="B59" s="319"/>
      <c r="C59" s="100"/>
      <c r="D59" s="125"/>
      <c r="E59" s="126"/>
      <c r="F59" s="70"/>
      <c r="G59" s="70"/>
    </row>
    <row r="60" spans="1:11">
      <c r="A60" s="318" t="s">
        <v>119</v>
      </c>
      <c r="B60" s="319"/>
      <c r="C60" s="108"/>
      <c r="D60" s="125"/>
      <c r="E60" s="126"/>
      <c r="F60" s="70"/>
      <c r="G60" s="70"/>
    </row>
    <row r="61" spans="1:11">
      <c r="A61" s="318" t="s">
        <v>113</v>
      </c>
      <c r="B61" s="319"/>
      <c r="C61" s="108"/>
      <c r="D61" s="125"/>
      <c r="E61" s="126"/>
      <c r="F61" s="70"/>
      <c r="G61" s="70"/>
    </row>
    <row r="62" spans="1:11">
      <c r="A62" s="336" t="s">
        <v>110</v>
      </c>
      <c r="B62" s="337"/>
      <c r="C62" s="204"/>
      <c r="D62" s="67"/>
      <c r="E62" s="68"/>
      <c r="F62" s="70"/>
      <c r="G62" s="70"/>
    </row>
    <row r="63" spans="1:11">
      <c r="A63" s="320" t="s">
        <v>120</v>
      </c>
      <c r="B63" s="321"/>
      <c r="C63" s="321"/>
      <c r="D63" s="321"/>
      <c r="E63" s="321"/>
      <c r="F63" s="321"/>
      <c r="G63" s="357"/>
    </row>
    <row r="64" spans="1:11" ht="20.25">
      <c r="A64" s="363" t="s">
        <v>121</v>
      </c>
      <c r="B64" s="360"/>
      <c r="C64" s="360"/>
      <c r="D64" s="360"/>
      <c r="E64" s="364"/>
      <c r="F64" s="71" t="s">
        <v>176</v>
      </c>
      <c r="G64" s="109"/>
    </row>
    <row r="65" spans="1:7" ht="20.25">
      <c r="A65" s="365"/>
      <c r="B65" s="362"/>
      <c r="C65" s="362"/>
      <c r="D65" s="362"/>
      <c r="E65" s="366"/>
      <c r="F65" s="81" t="s">
        <v>177</v>
      </c>
      <c r="G65" s="110"/>
    </row>
    <row r="66" spans="1:7">
      <c r="A66" s="324" t="s">
        <v>122</v>
      </c>
      <c r="B66" s="325"/>
      <c r="C66" s="325"/>
      <c r="D66" s="325"/>
      <c r="E66" s="325"/>
      <c r="F66" s="325"/>
      <c r="G66" s="326"/>
    </row>
    <row r="67" spans="1:7" ht="24" customHeight="1">
      <c r="A67" s="359" t="s">
        <v>123</v>
      </c>
      <c r="B67" s="360"/>
      <c r="C67" s="360"/>
      <c r="D67" s="360"/>
      <c r="E67" s="360"/>
      <c r="F67" s="71" t="s">
        <v>176</v>
      </c>
      <c r="G67" s="109"/>
    </row>
    <row r="68" spans="1:7" ht="24" customHeight="1">
      <c r="A68" s="361"/>
      <c r="B68" s="362"/>
      <c r="C68" s="362"/>
      <c r="D68" s="362"/>
      <c r="E68" s="362"/>
      <c r="F68" s="81" t="s">
        <v>177</v>
      </c>
      <c r="G68" s="110"/>
    </row>
    <row r="69" spans="1:7">
      <c r="A69" s="324" t="s">
        <v>178</v>
      </c>
      <c r="B69" s="325"/>
      <c r="C69" s="325"/>
      <c r="D69" s="325"/>
      <c r="E69" s="325"/>
      <c r="F69" s="325"/>
      <c r="G69" s="326"/>
    </row>
    <row r="70" spans="1:7" ht="38.25" customHeight="1">
      <c r="A70" s="375" t="s">
        <v>134</v>
      </c>
      <c r="B70" s="377"/>
      <c r="C70" s="382"/>
      <c r="D70" s="383"/>
      <c r="E70" s="383"/>
      <c r="F70" s="383"/>
      <c r="G70" s="384"/>
    </row>
    <row r="71" spans="1:7" ht="20.25" customHeight="1">
      <c r="A71" s="387" t="s">
        <v>124</v>
      </c>
      <c r="B71" s="388"/>
      <c r="C71" s="388"/>
      <c r="D71" s="388"/>
      <c r="E71" s="388"/>
      <c r="F71" s="388"/>
      <c r="G71" s="389"/>
    </row>
    <row r="72" spans="1:7" ht="20.25">
      <c r="A72" s="385" t="s">
        <v>1331</v>
      </c>
      <c r="B72" s="386"/>
      <c r="C72" s="386"/>
      <c r="D72" s="386"/>
      <c r="E72" s="386"/>
      <c r="F72" s="71" t="s">
        <v>176</v>
      </c>
      <c r="G72" s="109"/>
    </row>
    <row r="73" spans="1:7" ht="20.25">
      <c r="A73" s="361"/>
      <c r="B73" s="362"/>
      <c r="C73" s="362"/>
      <c r="D73" s="362"/>
      <c r="E73" s="362"/>
      <c r="F73" s="81" t="s">
        <v>177</v>
      </c>
      <c r="G73" s="110"/>
    </row>
    <row r="74" spans="1:7">
      <c r="A74" s="324" t="s">
        <v>179</v>
      </c>
      <c r="B74" s="325"/>
      <c r="C74" s="325"/>
      <c r="D74" s="325"/>
      <c r="E74" s="325"/>
      <c r="F74" s="325"/>
      <c r="G74" s="326"/>
    </row>
    <row r="75" spans="1:7" ht="19.5" customHeight="1">
      <c r="A75" s="390" t="s">
        <v>125</v>
      </c>
      <c r="B75" s="391"/>
      <c r="C75" s="391"/>
      <c r="D75" s="391"/>
      <c r="E75" s="391"/>
      <c r="F75" s="82" t="s">
        <v>176</v>
      </c>
      <c r="G75" s="111"/>
    </row>
    <row r="76" spans="1:7" ht="19.5" customHeight="1">
      <c r="A76" s="392"/>
      <c r="B76" s="393"/>
      <c r="C76" s="393"/>
      <c r="D76" s="393"/>
      <c r="E76" s="393"/>
      <c r="F76" s="72" t="s">
        <v>177</v>
      </c>
      <c r="G76" s="109"/>
    </row>
    <row r="77" spans="1:7" ht="34.5" customHeight="1">
      <c r="A77" s="394" t="s">
        <v>126</v>
      </c>
      <c r="B77" s="395"/>
      <c r="C77" s="378"/>
      <c r="D77" s="379"/>
      <c r="E77" s="379"/>
      <c r="F77" s="379"/>
      <c r="G77" s="380"/>
    </row>
    <row r="78" spans="1:7" ht="15" customHeight="1">
      <c r="A78" s="387" t="s">
        <v>1427</v>
      </c>
      <c r="B78" s="388"/>
      <c r="C78" s="388"/>
      <c r="D78" s="388"/>
      <c r="E78" s="388"/>
      <c r="F78" s="388"/>
      <c r="G78" s="389"/>
    </row>
    <row r="79" spans="1:7" ht="24.75" customHeight="1">
      <c r="A79" s="347" t="s">
        <v>1336</v>
      </c>
      <c r="B79" s="348"/>
      <c r="C79" s="83" t="s">
        <v>128</v>
      </c>
      <c r="D79" s="351" t="s">
        <v>129</v>
      </c>
      <c r="E79" s="352"/>
      <c r="F79" s="89" t="s">
        <v>130</v>
      </c>
      <c r="G79" s="90" t="s">
        <v>131</v>
      </c>
    </row>
    <row r="80" spans="1:7" ht="28.5" customHeight="1">
      <c r="A80" s="375"/>
      <c r="B80" s="376"/>
      <c r="C80" s="112"/>
      <c r="D80" s="353"/>
      <c r="E80" s="354"/>
      <c r="F80" s="113"/>
      <c r="G80" s="113"/>
    </row>
    <row r="81" spans="1:7" ht="24.75" customHeight="1">
      <c r="A81" s="347" t="s">
        <v>1339</v>
      </c>
      <c r="B81" s="348"/>
      <c r="C81" s="83" t="s">
        <v>128</v>
      </c>
      <c r="D81" s="351" t="s">
        <v>129</v>
      </c>
      <c r="E81" s="352"/>
      <c r="F81" s="89" t="s">
        <v>130</v>
      </c>
      <c r="G81" s="90" t="s">
        <v>131</v>
      </c>
    </row>
    <row r="82" spans="1:7" ht="28.5" customHeight="1">
      <c r="A82" s="349"/>
      <c r="B82" s="350"/>
      <c r="C82" s="114"/>
      <c r="D82" s="355"/>
      <c r="E82" s="356"/>
      <c r="F82" s="109"/>
      <c r="G82" s="113"/>
    </row>
    <row r="83" spans="1:7">
      <c r="A83" s="340" t="s">
        <v>132</v>
      </c>
      <c r="B83" s="341"/>
      <c r="C83" s="342"/>
      <c r="D83" s="342"/>
      <c r="E83" s="343"/>
      <c r="F83" s="84"/>
      <c r="G83" s="84"/>
    </row>
    <row r="84" spans="1:7">
      <c r="A84" s="92" t="s">
        <v>150</v>
      </c>
      <c r="B84" s="93"/>
      <c r="C84" s="344"/>
      <c r="D84" s="344"/>
      <c r="E84" s="345"/>
      <c r="F84" s="39"/>
      <c r="G84" s="39"/>
    </row>
    <row r="85" spans="1:7">
      <c r="A85" s="92" t="s">
        <v>180</v>
      </c>
      <c r="B85" s="93"/>
      <c r="C85" s="346"/>
      <c r="D85" s="344"/>
      <c r="E85" s="345"/>
      <c r="F85" s="39"/>
      <c r="G85" s="39"/>
    </row>
    <row r="86" spans="1:7">
      <c r="A86" s="92" t="s">
        <v>181</v>
      </c>
      <c r="B86" s="93"/>
      <c r="C86" s="346"/>
      <c r="D86" s="344"/>
      <c r="E86" s="345"/>
      <c r="F86" s="39"/>
      <c r="G86" s="39"/>
    </row>
    <row r="87" spans="1:7">
      <c r="A87" s="92" t="s">
        <v>135</v>
      </c>
      <c r="B87" s="93"/>
      <c r="C87" s="381"/>
      <c r="D87" s="373"/>
      <c r="E87" s="374"/>
      <c r="F87" s="39"/>
      <c r="G87" s="39"/>
    </row>
    <row r="88" spans="1:7">
      <c r="A88" s="340" t="s">
        <v>136</v>
      </c>
      <c r="B88" s="341"/>
      <c r="C88" s="342"/>
      <c r="D88" s="342"/>
      <c r="E88" s="343"/>
      <c r="F88" s="84"/>
      <c r="G88" s="84"/>
    </row>
    <row r="89" spans="1:7">
      <c r="A89" s="92" t="s">
        <v>1428</v>
      </c>
      <c r="B89" s="93"/>
      <c r="C89" s="344"/>
      <c r="D89" s="344"/>
      <c r="E89" s="345"/>
      <c r="F89" s="39"/>
      <c r="G89" s="39"/>
    </row>
    <row r="90" spans="1:7">
      <c r="A90" s="63" t="s">
        <v>1429</v>
      </c>
      <c r="B90" s="92"/>
      <c r="C90" s="346"/>
      <c r="D90" s="344"/>
      <c r="E90" s="345"/>
      <c r="F90" s="39"/>
      <c r="G90" s="39"/>
    </row>
    <row r="91" spans="1:7">
      <c r="A91" s="64" t="s">
        <v>110</v>
      </c>
      <c r="B91" s="92"/>
      <c r="C91" s="396"/>
      <c r="D91" s="344"/>
      <c r="E91" s="345"/>
      <c r="F91" s="39"/>
      <c r="G91" s="39"/>
    </row>
    <row r="92" spans="1:7">
      <c r="A92" s="92" t="s">
        <v>1430</v>
      </c>
      <c r="B92" s="92"/>
      <c r="C92" s="381"/>
      <c r="D92" s="373"/>
      <c r="E92" s="374"/>
      <c r="F92" s="39"/>
      <c r="G92" s="39"/>
    </row>
    <row r="93" spans="1:7">
      <c r="A93" s="340" t="s">
        <v>139</v>
      </c>
      <c r="B93" s="341"/>
      <c r="C93" s="342"/>
      <c r="D93" s="342"/>
      <c r="E93" s="343"/>
      <c r="F93" s="84"/>
      <c r="G93" s="84"/>
    </row>
    <row r="94" spans="1:7">
      <c r="A94" s="92" t="s">
        <v>1431</v>
      </c>
      <c r="B94" s="93"/>
      <c r="C94" s="416"/>
      <c r="D94" s="344"/>
      <c r="E94" s="345"/>
      <c r="F94" s="39"/>
      <c r="G94" s="39"/>
    </row>
    <row r="95" spans="1:7">
      <c r="A95" s="92" t="s">
        <v>1432</v>
      </c>
      <c r="B95" s="93"/>
      <c r="C95" s="416"/>
      <c r="D95" s="344"/>
      <c r="E95" s="345"/>
      <c r="F95" s="39"/>
      <c r="G95" s="39"/>
    </row>
    <row r="96" spans="1:7">
      <c r="A96" s="92" t="s">
        <v>182</v>
      </c>
      <c r="B96" s="93"/>
      <c r="C96" s="416"/>
      <c r="D96" s="344"/>
      <c r="E96" s="345"/>
      <c r="F96" s="91"/>
      <c r="G96" s="91"/>
    </row>
    <row r="97" spans="1:8">
      <c r="A97" s="92" t="s">
        <v>1430</v>
      </c>
      <c r="B97" s="93"/>
      <c r="C97" s="372"/>
      <c r="D97" s="373"/>
      <c r="E97" s="374"/>
      <c r="F97" s="39"/>
      <c r="G97" s="39"/>
    </row>
    <row r="98" spans="1:8">
      <c r="A98" s="402" t="s">
        <v>1352</v>
      </c>
      <c r="B98" s="403"/>
      <c r="C98" s="403"/>
      <c r="D98" s="403"/>
      <c r="E98" s="403"/>
      <c r="F98" s="403"/>
      <c r="G98" s="404"/>
    </row>
    <row r="99" spans="1:8" ht="15" customHeight="1">
      <c r="A99" s="399" t="s">
        <v>140</v>
      </c>
      <c r="B99" s="400"/>
      <c r="C99" s="400"/>
      <c r="D99" s="400"/>
      <c r="E99" s="400"/>
      <c r="F99" s="400"/>
      <c r="G99" s="401"/>
    </row>
    <row r="100" spans="1:8" ht="15" customHeight="1">
      <c r="A100" s="115"/>
      <c r="B100" s="405" t="s">
        <v>1332</v>
      </c>
      <c r="C100" s="406"/>
      <c r="D100" s="115"/>
      <c r="E100" s="407" t="s">
        <v>153</v>
      </c>
      <c r="F100" s="408"/>
      <c r="G100" s="405"/>
      <c r="H100" s="6"/>
    </row>
    <row r="101" spans="1:8" ht="15" customHeight="1">
      <c r="A101" s="115"/>
      <c r="B101" s="405" t="s">
        <v>1334</v>
      </c>
      <c r="C101" s="406"/>
      <c r="D101" s="115"/>
      <c r="E101" s="407" t="s">
        <v>154</v>
      </c>
      <c r="F101" s="408"/>
      <c r="G101" s="405"/>
    </row>
    <row r="102" spans="1:8" ht="15" customHeight="1">
      <c r="A102" s="115"/>
      <c r="B102" s="405" t="s">
        <v>1335</v>
      </c>
      <c r="C102" s="406"/>
      <c r="D102" s="115"/>
      <c r="E102" s="407" t="s">
        <v>155</v>
      </c>
      <c r="F102" s="408"/>
      <c r="G102" s="405"/>
    </row>
    <row r="103" spans="1:8" ht="15" customHeight="1">
      <c r="A103" s="115"/>
      <c r="B103" s="405" t="s">
        <v>1333</v>
      </c>
      <c r="C103" s="406"/>
      <c r="D103" s="115"/>
      <c r="E103" s="407" t="s">
        <v>139</v>
      </c>
      <c r="F103" s="408"/>
      <c r="G103" s="405"/>
    </row>
    <row r="104" spans="1:8" ht="15" customHeight="1">
      <c r="A104" s="115"/>
      <c r="B104" s="405" t="s">
        <v>151</v>
      </c>
      <c r="C104" s="406"/>
      <c r="D104" s="115"/>
      <c r="E104" s="407" t="s">
        <v>132</v>
      </c>
      <c r="F104" s="408"/>
      <c r="G104" s="405"/>
    </row>
    <row r="105" spans="1:8" ht="15.75">
      <c r="A105" s="115"/>
      <c r="B105" s="405" t="s">
        <v>152</v>
      </c>
      <c r="C105" s="406"/>
      <c r="D105" s="115"/>
      <c r="E105" s="407" t="s">
        <v>136</v>
      </c>
      <c r="F105" s="408"/>
      <c r="G105" s="405"/>
    </row>
    <row r="106" spans="1:8" ht="15.75" customHeight="1">
      <c r="A106" s="399" t="s">
        <v>1361</v>
      </c>
      <c r="B106" s="400"/>
      <c r="C106" s="400"/>
      <c r="D106" s="400"/>
      <c r="E106" s="400"/>
      <c r="F106" s="400"/>
      <c r="G106" s="401"/>
    </row>
    <row r="107" spans="1:8" ht="15.75" customHeight="1">
      <c r="A107" s="115"/>
      <c r="B107" s="397" t="s">
        <v>84</v>
      </c>
      <c r="C107" s="398"/>
      <c r="D107" s="115"/>
      <c r="E107" s="397"/>
      <c r="F107" s="415"/>
      <c r="G107" s="398"/>
    </row>
    <row r="108" spans="1:8" ht="15.75" hidden="1" customHeight="1">
      <c r="A108" s="115"/>
      <c r="B108" s="397" t="s">
        <v>1</v>
      </c>
      <c r="C108" s="398"/>
      <c r="D108" s="115"/>
      <c r="E108" s="397" t="s">
        <v>50</v>
      </c>
      <c r="F108" s="415"/>
      <c r="G108" s="398"/>
    </row>
    <row r="109" spans="1:8" ht="15" hidden="1" customHeight="1">
      <c r="A109" s="115"/>
      <c r="B109" s="397" t="s">
        <v>2</v>
      </c>
      <c r="C109" s="398"/>
      <c r="D109" s="115"/>
      <c r="E109" s="397" t="s">
        <v>86</v>
      </c>
      <c r="F109" s="415"/>
      <c r="G109" s="398"/>
    </row>
    <row r="110" spans="1:8" ht="15" hidden="1" customHeight="1">
      <c r="A110" s="115"/>
      <c r="B110" s="397" t="s">
        <v>82</v>
      </c>
      <c r="C110" s="398"/>
      <c r="D110" s="115"/>
      <c r="E110" s="397" t="s">
        <v>14</v>
      </c>
      <c r="F110" s="415"/>
      <c r="G110" s="398"/>
    </row>
    <row r="111" spans="1:8" ht="15" hidden="1" customHeight="1">
      <c r="A111" s="115"/>
      <c r="B111" s="397" t="s">
        <v>83</v>
      </c>
      <c r="C111" s="398"/>
      <c r="D111" s="115"/>
      <c r="E111" s="397" t="s">
        <v>163</v>
      </c>
      <c r="F111" s="415"/>
      <c r="G111" s="398"/>
    </row>
    <row r="112" spans="1:8" ht="15" hidden="1" customHeight="1">
      <c r="A112" s="115"/>
      <c r="B112" s="397" t="s">
        <v>85</v>
      </c>
      <c r="C112" s="398"/>
      <c r="D112" s="115"/>
      <c r="E112" s="397" t="s">
        <v>4</v>
      </c>
      <c r="F112" s="415"/>
      <c r="G112" s="398"/>
    </row>
    <row r="113" spans="1:7" ht="15" hidden="1" customHeight="1">
      <c r="A113" s="412" t="s">
        <v>1362</v>
      </c>
      <c r="B113" s="413"/>
      <c r="C113" s="413"/>
      <c r="D113" s="413"/>
      <c r="E113" s="413"/>
      <c r="F113" s="413"/>
      <c r="G113" s="414"/>
    </row>
    <row r="114" spans="1:7" ht="15" hidden="1" customHeight="1">
      <c r="A114" s="399" t="s">
        <v>1343</v>
      </c>
      <c r="B114" s="400"/>
      <c r="C114" s="401"/>
      <c r="D114" s="399" t="s">
        <v>165</v>
      </c>
      <c r="E114" s="400"/>
      <c r="F114" s="400"/>
      <c r="G114" s="401"/>
    </row>
    <row r="115" spans="1:7" ht="15" hidden="1" customHeight="1">
      <c r="A115" s="115"/>
      <c r="B115" s="397" t="s">
        <v>49</v>
      </c>
      <c r="C115" s="398"/>
      <c r="D115" s="115"/>
      <c r="E115" s="409" t="s">
        <v>5</v>
      </c>
      <c r="F115" s="410"/>
      <c r="G115" s="411"/>
    </row>
    <row r="116" spans="1:7" ht="15" hidden="1" customHeight="1">
      <c r="A116" s="115"/>
      <c r="B116" s="397" t="s">
        <v>48</v>
      </c>
      <c r="C116" s="398"/>
      <c r="D116" s="115"/>
      <c r="E116" s="409" t="s">
        <v>6</v>
      </c>
      <c r="F116" s="410"/>
      <c r="G116" s="411"/>
    </row>
    <row r="117" spans="1:7" ht="15" hidden="1" customHeight="1">
      <c r="A117" s="115"/>
      <c r="B117" s="397" t="s">
        <v>5</v>
      </c>
      <c r="C117" s="398"/>
      <c r="D117" s="115"/>
      <c r="E117" s="409" t="s">
        <v>10</v>
      </c>
      <c r="F117" s="410"/>
      <c r="G117" s="411"/>
    </row>
    <row r="118" spans="1:7" ht="15" hidden="1" customHeight="1">
      <c r="A118" s="115"/>
      <c r="B118" s="397" t="s">
        <v>6</v>
      </c>
      <c r="C118" s="398"/>
      <c r="D118" s="94"/>
      <c r="E118" s="409"/>
      <c r="F118" s="410"/>
      <c r="G118" s="411"/>
    </row>
    <row r="119" spans="1:7" ht="15" hidden="1" customHeight="1">
      <c r="A119" s="115"/>
      <c r="B119" s="397" t="s">
        <v>10</v>
      </c>
      <c r="C119" s="398"/>
      <c r="D119" s="94"/>
      <c r="E119" s="409"/>
      <c r="F119" s="410"/>
      <c r="G119" s="411"/>
    </row>
    <row r="120" spans="1:7" ht="15" hidden="1" customHeight="1">
      <c r="A120" s="115"/>
      <c r="B120" s="397" t="s">
        <v>44</v>
      </c>
      <c r="C120" s="398"/>
      <c r="D120" s="94"/>
      <c r="E120" s="409"/>
      <c r="F120" s="410"/>
      <c r="G120" s="411"/>
    </row>
    <row r="121" spans="1:7" ht="15" hidden="1" customHeight="1">
      <c r="A121" s="399" t="s">
        <v>1344</v>
      </c>
      <c r="B121" s="400"/>
      <c r="C121" s="401"/>
      <c r="D121" s="399" t="s">
        <v>1345</v>
      </c>
      <c r="E121" s="400"/>
      <c r="F121" s="400"/>
      <c r="G121" s="401"/>
    </row>
    <row r="122" spans="1:7" ht="15" hidden="1" customHeight="1">
      <c r="A122" s="115"/>
      <c r="B122" s="397" t="s">
        <v>47</v>
      </c>
      <c r="C122" s="398"/>
      <c r="D122" s="115"/>
      <c r="E122" s="409" t="s">
        <v>47</v>
      </c>
      <c r="F122" s="410"/>
      <c r="G122" s="411"/>
    </row>
    <row r="123" spans="1:7" ht="15" hidden="1" customHeight="1">
      <c r="A123" s="115"/>
      <c r="B123" s="397" t="s">
        <v>46</v>
      </c>
      <c r="C123" s="398"/>
      <c r="D123" s="115"/>
      <c r="E123" s="409" t="s">
        <v>46</v>
      </c>
      <c r="F123" s="410"/>
      <c r="G123" s="411"/>
    </row>
    <row r="124" spans="1:7" ht="15" hidden="1" customHeight="1">
      <c r="A124" s="115"/>
      <c r="B124" s="397" t="s">
        <v>1448</v>
      </c>
      <c r="C124" s="398"/>
      <c r="D124" s="115"/>
      <c r="E124" s="409" t="s">
        <v>45</v>
      </c>
      <c r="F124" s="410"/>
      <c r="G124" s="411"/>
    </row>
    <row r="125" spans="1:7" ht="15" hidden="1" customHeight="1">
      <c r="A125" s="115"/>
      <c r="B125" s="397" t="s">
        <v>11</v>
      </c>
      <c r="C125" s="398"/>
      <c r="D125" s="115"/>
      <c r="E125" s="409" t="s">
        <v>1359</v>
      </c>
      <c r="F125" s="410"/>
      <c r="G125" s="411"/>
    </row>
    <row r="126" spans="1:7" ht="15" hidden="1" customHeight="1">
      <c r="A126" s="115"/>
      <c r="B126" s="397" t="s">
        <v>9</v>
      </c>
      <c r="C126" s="398"/>
      <c r="D126" s="115"/>
      <c r="E126" s="409" t="s">
        <v>13</v>
      </c>
      <c r="F126" s="410"/>
      <c r="G126" s="411"/>
    </row>
    <row r="127" spans="1:7" ht="15" hidden="1" customHeight="1">
      <c r="A127" s="115"/>
      <c r="B127" s="397"/>
      <c r="C127" s="398"/>
      <c r="D127" s="115"/>
      <c r="E127" s="409" t="s">
        <v>12</v>
      </c>
      <c r="F127" s="410"/>
      <c r="G127" s="411"/>
    </row>
    <row r="128" spans="1:7" ht="15" hidden="1" customHeight="1">
      <c r="A128" s="412" t="s">
        <v>1351</v>
      </c>
      <c r="B128" s="413"/>
      <c r="C128" s="413"/>
      <c r="D128" s="413"/>
      <c r="E128" s="413"/>
      <c r="F128" s="413"/>
      <c r="G128" s="414"/>
    </row>
    <row r="129" spans="1:7" ht="15" hidden="1" customHeight="1">
      <c r="A129" s="115"/>
      <c r="B129" s="397" t="s">
        <v>37</v>
      </c>
      <c r="C129" s="398"/>
      <c r="D129" s="115"/>
      <c r="E129" s="409" t="s">
        <v>1346</v>
      </c>
      <c r="F129" s="410"/>
      <c r="G129" s="411"/>
    </row>
    <row r="130" spans="1:7" ht="15" hidden="1" customHeight="1">
      <c r="A130" s="115"/>
      <c r="B130" s="397" t="s">
        <v>36</v>
      </c>
      <c r="C130" s="398"/>
      <c r="D130" s="115"/>
      <c r="E130" s="409" t="s">
        <v>30</v>
      </c>
      <c r="F130" s="410"/>
      <c r="G130" s="411"/>
    </row>
    <row r="131" spans="1:7" ht="15" hidden="1" customHeight="1">
      <c r="A131" s="115"/>
      <c r="B131" s="397" t="s">
        <v>26</v>
      </c>
      <c r="C131" s="398"/>
      <c r="D131" s="115"/>
      <c r="E131" s="409" t="s">
        <v>31</v>
      </c>
      <c r="F131" s="410"/>
      <c r="G131" s="411"/>
    </row>
    <row r="132" spans="1:7" ht="15" hidden="1" customHeight="1">
      <c r="A132" s="115"/>
      <c r="B132" s="397" t="s">
        <v>27</v>
      </c>
      <c r="C132" s="398"/>
      <c r="D132" s="115"/>
      <c r="E132" s="409" t="s">
        <v>32</v>
      </c>
      <c r="F132" s="410"/>
      <c r="G132" s="411"/>
    </row>
    <row r="133" spans="1:7" ht="15" hidden="1" customHeight="1">
      <c r="A133" s="115"/>
      <c r="B133" s="397" t="s">
        <v>38</v>
      </c>
      <c r="C133" s="398"/>
      <c r="D133" s="115"/>
      <c r="E133" s="409" t="s">
        <v>81</v>
      </c>
      <c r="F133" s="410"/>
      <c r="G133" s="411"/>
    </row>
  </sheetData>
  <mergeCells count="201">
    <mergeCell ref="G36:H36"/>
    <mergeCell ref="G37:H37"/>
    <mergeCell ref="G38:H38"/>
    <mergeCell ref="G39:H39"/>
    <mergeCell ref="G40:H40"/>
    <mergeCell ref="G41:H41"/>
    <mergeCell ref="G42:H42"/>
    <mergeCell ref="G46:H46"/>
    <mergeCell ref="E112:G112"/>
    <mergeCell ref="E111:G111"/>
    <mergeCell ref="E110:G110"/>
    <mergeCell ref="E109:G109"/>
    <mergeCell ref="E108:G108"/>
    <mergeCell ref="E107:G107"/>
    <mergeCell ref="A106:G106"/>
    <mergeCell ref="E105:G105"/>
    <mergeCell ref="B100:C100"/>
    <mergeCell ref="B101:C101"/>
    <mergeCell ref="B102:C102"/>
    <mergeCell ref="B103:C103"/>
    <mergeCell ref="B104:C104"/>
    <mergeCell ref="C94:E94"/>
    <mergeCell ref="C95:E95"/>
    <mergeCell ref="C96:E96"/>
    <mergeCell ref="E122:G122"/>
    <mergeCell ref="B122:C122"/>
    <mergeCell ref="D121:G121"/>
    <mergeCell ref="A121:C121"/>
    <mergeCell ref="A113:G113"/>
    <mergeCell ref="E120:G120"/>
    <mergeCell ref="E119:G119"/>
    <mergeCell ref="E118:G118"/>
    <mergeCell ref="E117:G117"/>
    <mergeCell ref="E116:G116"/>
    <mergeCell ref="E115:G115"/>
    <mergeCell ref="D114:G114"/>
    <mergeCell ref="A128:G128"/>
    <mergeCell ref="E126:G126"/>
    <mergeCell ref="B126:C126"/>
    <mergeCell ref="E125:G125"/>
    <mergeCell ref="B125:C125"/>
    <mergeCell ref="E124:G124"/>
    <mergeCell ref="B124:C124"/>
    <mergeCell ref="E123:G123"/>
    <mergeCell ref="B123:C123"/>
    <mergeCell ref="B127:C127"/>
    <mergeCell ref="E127:G127"/>
    <mergeCell ref="E133:G133"/>
    <mergeCell ref="B133:C133"/>
    <mergeCell ref="E132:G132"/>
    <mergeCell ref="B132:C132"/>
    <mergeCell ref="E131:G131"/>
    <mergeCell ref="B131:C131"/>
    <mergeCell ref="E130:G130"/>
    <mergeCell ref="B130:C130"/>
    <mergeCell ref="E129:G129"/>
    <mergeCell ref="B129:C129"/>
    <mergeCell ref="A10:B10"/>
    <mergeCell ref="B120:C120"/>
    <mergeCell ref="B115:C115"/>
    <mergeCell ref="B116:C116"/>
    <mergeCell ref="B117:C117"/>
    <mergeCell ref="B118:C118"/>
    <mergeCell ref="B119:C119"/>
    <mergeCell ref="A114:C114"/>
    <mergeCell ref="B109:C109"/>
    <mergeCell ref="B110:C110"/>
    <mergeCell ref="B111:C111"/>
    <mergeCell ref="B107:C107"/>
    <mergeCell ref="B108:C108"/>
    <mergeCell ref="B112:C112"/>
    <mergeCell ref="A98:G98"/>
    <mergeCell ref="A99:G99"/>
    <mergeCell ref="B105:C105"/>
    <mergeCell ref="E100:G100"/>
    <mergeCell ref="E101:G101"/>
    <mergeCell ref="E102:G102"/>
    <mergeCell ref="E103:G103"/>
    <mergeCell ref="G51:H51"/>
    <mergeCell ref="G48:H48"/>
    <mergeCell ref="E104:G104"/>
    <mergeCell ref="A21:B21"/>
    <mergeCell ref="A22:B22"/>
    <mergeCell ref="A23:B23"/>
    <mergeCell ref="A24:B24"/>
    <mergeCell ref="A25:B25"/>
    <mergeCell ref="A26:B26"/>
    <mergeCell ref="A27:B27"/>
    <mergeCell ref="A28:B28"/>
    <mergeCell ref="A29:B29"/>
    <mergeCell ref="C97:E97"/>
    <mergeCell ref="A79:B80"/>
    <mergeCell ref="A70:B70"/>
    <mergeCell ref="C77:G77"/>
    <mergeCell ref="C87:E87"/>
    <mergeCell ref="C89:E89"/>
    <mergeCell ref="C70:G70"/>
    <mergeCell ref="A72:E73"/>
    <mergeCell ref="A71:G71"/>
    <mergeCell ref="A75:E76"/>
    <mergeCell ref="A77:B77"/>
    <mergeCell ref="A78:G78"/>
    <mergeCell ref="C90:E90"/>
    <mergeCell ref="C91:E91"/>
    <mergeCell ref="C92:E92"/>
    <mergeCell ref="A88:E88"/>
    <mergeCell ref="A93:E93"/>
    <mergeCell ref="A69:G69"/>
    <mergeCell ref="A49:B49"/>
    <mergeCell ref="A55:B55"/>
    <mergeCell ref="A56:B56"/>
    <mergeCell ref="A57:B57"/>
    <mergeCell ref="A58:B58"/>
    <mergeCell ref="A59:B59"/>
    <mergeCell ref="A51:B51"/>
    <mergeCell ref="A52:B52"/>
    <mergeCell ref="A50:B50"/>
    <mergeCell ref="A53:B53"/>
    <mergeCell ref="A60:B60"/>
    <mergeCell ref="A66:G66"/>
    <mergeCell ref="A67:E68"/>
    <mergeCell ref="A64:E65"/>
    <mergeCell ref="A54:E54"/>
    <mergeCell ref="G49:H49"/>
    <mergeCell ref="G50:H50"/>
    <mergeCell ref="G52:H52"/>
    <mergeCell ref="G53:H53"/>
    <mergeCell ref="G54:H54"/>
    <mergeCell ref="C58:E58"/>
    <mergeCell ref="A9:E9"/>
    <mergeCell ref="A18:E18"/>
    <mergeCell ref="A30:E30"/>
    <mergeCell ref="A83:E83"/>
    <mergeCell ref="C84:E84"/>
    <mergeCell ref="C85:E85"/>
    <mergeCell ref="C86:E86"/>
    <mergeCell ref="A81:B82"/>
    <mergeCell ref="D79:E79"/>
    <mergeCell ref="D80:E80"/>
    <mergeCell ref="D81:E81"/>
    <mergeCell ref="D82:E82"/>
    <mergeCell ref="A74:G74"/>
    <mergeCell ref="A61:B61"/>
    <mergeCell ref="A62:B62"/>
    <mergeCell ref="A63:G63"/>
    <mergeCell ref="A11:B11"/>
    <mergeCell ref="A12:B12"/>
    <mergeCell ref="A13:B13"/>
    <mergeCell ref="A14:B14"/>
    <mergeCell ref="A15:B15"/>
    <mergeCell ref="G9:K9"/>
    <mergeCell ref="G10:K10"/>
    <mergeCell ref="G11:H11"/>
    <mergeCell ref="G12:H12"/>
    <mergeCell ref="G13:H13"/>
    <mergeCell ref="G14:H14"/>
    <mergeCell ref="G15:H15"/>
    <mergeCell ref="G16:K16"/>
    <mergeCell ref="G17:H17"/>
    <mergeCell ref="A43:B43"/>
    <mergeCell ref="A44:B44"/>
    <mergeCell ref="A45:B45"/>
    <mergeCell ref="A36:B36"/>
    <mergeCell ref="A37:B37"/>
    <mergeCell ref="A38:B38"/>
    <mergeCell ref="A39:B39"/>
    <mergeCell ref="G43:H43"/>
    <mergeCell ref="G44:H44"/>
    <mergeCell ref="G45:H45"/>
    <mergeCell ref="G26:H26"/>
    <mergeCell ref="G29:H29"/>
    <mergeCell ref="G35:I35"/>
    <mergeCell ref="A16:B16"/>
    <mergeCell ref="A17:B17"/>
    <mergeCell ref="A19:B19"/>
    <mergeCell ref="A20:B20"/>
    <mergeCell ref="A31:B31"/>
    <mergeCell ref="A47:B47"/>
    <mergeCell ref="A48:B48"/>
    <mergeCell ref="A46:B46"/>
    <mergeCell ref="G18:H18"/>
    <mergeCell ref="G19:H19"/>
    <mergeCell ref="G20:H20"/>
    <mergeCell ref="G21:H21"/>
    <mergeCell ref="G22:I22"/>
    <mergeCell ref="G23:H23"/>
    <mergeCell ref="G28:H28"/>
    <mergeCell ref="G30:H30"/>
    <mergeCell ref="G31:H31"/>
    <mergeCell ref="G27:I27"/>
    <mergeCell ref="A40:B40"/>
    <mergeCell ref="A41:B41"/>
    <mergeCell ref="A42:B42"/>
    <mergeCell ref="A32:B32"/>
    <mergeCell ref="A33:B33"/>
    <mergeCell ref="A34:B34"/>
    <mergeCell ref="A35:B35"/>
    <mergeCell ref="G47:K47"/>
    <mergeCell ref="G32:H32"/>
    <mergeCell ref="G33:H33"/>
    <mergeCell ref="G34:H34"/>
  </mergeCells>
  <conditionalFormatting sqref="G64">
    <cfRule type="iconSet" priority="64">
      <iconSet iconSet="3Symbols2" showValue="0">
        <cfvo type="percent" val="0"/>
        <cfvo type="num" val="1"/>
        <cfvo type="num" val="1"/>
      </iconSet>
    </cfRule>
  </conditionalFormatting>
  <conditionalFormatting sqref="G65">
    <cfRule type="iconSet" priority="63">
      <iconSet iconSet="3Symbols2" showValue="0">
        <cfvo type="percent" val="0"/>
        <cfvo type="num" val="1"/>
        <cfvo type="num" val="1"/>
      </iconSet>
    </cfRule>
  </conditionalFormatting>
  <conditionalFormatting sqref="G67">
    <cfRule type="iconSet" priority="62">
      <iconSet iconSet="3Symbols2" showValue="0">
        <cfvo type="percent" val="0"/>
        <cfvo type="num" val="1"/>
        <cfvo type="num" val="1"/>
      </iconSet>
    </cfRule>
  </conditionalFormatting>
  <conditionalFormatting sqref="G68">
    <cfRule type="iconSet" priority="61">
      <iconSet iconSet="3Symbols2" showValue="0">
        <cfvo type="percent" val="0"/>
        <cfvo type="num" val="1"/>
        <cfvo type="num" val="1"/>
      </iconSet>
    </cfRule>
  </conditionalFormatting>
  <conditionalFormatting sqref="G72">
    <cfRule type="iconSet" priority="60">
      <iconSet iconSet="3Symbols2" showValue="0">
        <cfvo type="percent" val="0"/>
        <cfvo type="num" val="1"/>
        <cfvo type="num" val="1"/>
      </iconSet>
    </cfRule>
  </conditionalFormatting>
  <conditionalFormatting sqref="G73">
    <cfRule type="iconSet" priority="59">
      <iconSet iconSet="3Symbols2" showValue="0">
        <cfvo type="percent" val="0"/>
        <cfvo type="num" val="1"/>
        <cfvo type="num" val="1"/>
      </iconSet>
    </cfRule>
  </conditionalFormatting>
  <conditionalFormatting sqref="G75">
    <cfRule type="iconSet" priority="58">
      <iconSet iconSet="3Symbols2" showValue="0">
        <cfvo type="percent" val="0"/>
        <cfvo type="num" val="1"/>
        <cfvo type="num" val="1"/>
      </iconSet>
    </cfRule>
  </conditionalFormatting>
  <conditionalFormatting sqref="G76">
    <cfRule type="iconSet" priority="57">
      <iconSet iconSet="3Symbols2" showValue="0">
        <cfvo type="percent" val="0"/>
        <cfvo type="num" val="1"/>
        <cfvo type="num" val="1"/>
      </iconSet>
    </cfRule>
  </conditionalFormatting>
  <conditionalFormatting sqref="C80 F80:G80">
    <cfRule type="iconSet" priority="74">
      <iconSet iconSet="3Symbols2" showValue="0">
        <cfvo type="percent" val="0"/>
        <cfvo type="num" val="1"/>
        <cfvo type="num" val="1"/>
      </iconSet>
    </cfRule>
  </conditionalFormatting>
  <conditionalFormatting sqref="D80">
    <cfRule type="iconSet" priority="53">
      <iconSet iconSet="3Symbols2" showValue="0">
        <cfvo type="percent" val="0"/>
        <cfvo type="num" val="1"/>
        <cfvo type="num" val="1"/>
      </iconSet>
    </cfRule>
  </conditionalFormatting>
  <conditionalFormatting sqref="C82 F82:G82">
    <cfRule type="iconSet" priority="52">
      <iconSet iconSet="3Symbols2" showValue="0">
        <cfvo type="percent" val="0"/>
        <cfvo type="num" val="1"/>
        <cfvo type="num" val="1"/>
      </iconSet>
    </cfRule>
  </conditionalFormatting>
  <conditionalFormatting sqref="D82">
    <cfRule type="iconSet" priority="51">
      <iconSet iconSet="3Symbols2" showValue="0">
        <cfvo type="percent" val="0"/>
        <cfvo type="num" val="1"/>
        <cfvo type="num" val="1"/>
      </iconSet>
    </cfRule>
  </conditionalFormatting>
  <conditionalFormatting sqref="A100">
    <cfRule type="iconSet" priority="50">
      <iconSet iconSet="3Symbols2" showValue="0">
        <cfvo type="percent" val="0"/>
        <cfvo type="num" val="1"/>
        <cfvo type="num" val="1"/>
      </iconSet>
    </cfRule>
  </conditionalFormatting>
  <conditionalFormatting sqref="A101:A105">
    <cfRule type="iconSet" priority="46">
      <iconSet iconSet="3Symbols2" showValue="0">
        <cfvo type="percent" val="0"/>
        <cfvo type="num" val="1"/>
        <cfvo type="num" val="1"/>
      </iconSet>
    </cfRule>
  </conditionalFormatting>
  <conditionalFormatting sqref="D100">
    <cfRule type="iconSet" priority="45">
      <iconSet iconSet="3Symbols2" showValue="0">
        <cfvo type="percent" val="0"/>
        <cfvo type="num" val="1"/>
        <cfvo type="num" val="1"/>
      </iconSet>
    </cfRule>
  </conditionalFormatting>
  <conditionalFormatting sqref="D101:D105">
    <cfRule type="iconSet" priority="44">
      <iconSet iconSet="3Symbols2" showValue="0">
        <cfvo type="percent" val="0"/>
        <cfvo type="num" val="1"/>
        <cfvo type="num" val="1"/>
      </iconSet>
    </cfRule>
  </conditionalFormatting>
  <conditionalFormatting sqref="A115">
    <cfRule type="iconSet" priority="23">
      <iconSet iconSet="3Symbols2" showValue="0">
        <cfvo type="percent" val="0"/>
        <cfvo type="num" val="1"/>
        <cfvo type="num" val="1"/>
      </iconSet>
    </cfRule>
  </conditionalFormatting>
  <conditionalFormatting sqref="A116:A120">
    <cfRule type="iconSet" priority="22">
      <iconSet iconSet="3Symbols2" showValue="0">
        <cfvo type="percent" val="0"/>
        <cfvo type="num" val="1"/>
        <cfvo type="num" val="1"/>
      </iconSet>
    </cfRule>
  </conditionalFormatting>
  <conditionalFormatting sqref="D115">
    <cfRule type="iconSet" priority="21">
      <iconSet iconSet="3Symbols2" showValue="0">
        <cfvo type="percent" val="0"/>
        <cfvo type="num" val="1"/>
        <cfvo type="num" val="1"/>
      </iconSet>
    </cfRule>
  </conditionalFormatting>
  <conditionalFormatting sqref="D116:D120">
    <cfRule type="iconSet" priority="20">
      <iconSet iconSet="3Symbols2" showValue="0">
        <cfvo type="percent" val="0"/>
        <cfvo type="num" val="1"/>
        <cfvo type="num" val="1"/>
      </iconSet>
    </cfRule>
  </conditionalFormatting>
  <conditionalFormatting sqref="A107">
    <cfRule type="iconSet" priority="14">
      <iconSet iconSet="3Symbols2" showValue="0">
        <cfvo type="percent" val="0"/>
        <cfvo type="num" val="1"/>
        <cfvo type="num" val="1"/>
      </iconSet>
    </cfRule>
  </conditionalFormatting>
  <conditionalFormatting sqref="A108:A112">
    <cfRule type="iconSet" priority="13">
      <iconSet iconSet="3Symbols2" showValue="0">
        <cfvo type="percent" val="0"/>
        <cfvo type="num" val="1"/>
        <cfvo type="num" val="1"/>
      </iconSet>
    </cfRule>
  </conditionalFormatting>
  <conditionalFormatting sqref="D107">
    <cfRule type="iconSet" priority="12">
      <iconSet iconSet="3Symbols2" showValue="0">
        <cfvo type="percent" val="0"/>
        <cfvo type="num" val="1"/>
        <cfvo type="num" val="1"/>
      </iconSet>
    </cfRule>
  </conditionalFormatting>
  <conditionalFormatting sqref="D108:D112">
    <cfRule type="iconSet" priority="11">
      <iconSet iconSet="3Symbols2" showValue="0">
        <cfvo type="percent" val="0"/>
        <cfvo type="num" val="1"/>
        <cfvo type="num" val="1"/>
      </iconSet>
    </cfRule>
  </conditionalFormatting>
  <conditionalFormatting sqref="A122">
    <cfRule type="iconSet" priority="8">
      <iconSet iconSet="3Symbols2" showValue="0">
        <cfvo type="percent" val="0"/>
        <cfvo type="num" val="1"/>
        <cfvo type="num" val="1"/>
      </iconSet>
    </cfRule>
  </conditionalFormatting>
  <conditionalFormatting sqref="D122">
    <cfRule type="iconSet" priority="7">
      <iconSet iconSet="3Symbols2" showValue="0">
        <cfvo type="percent" val="0"/>
        <cfvo type="num" val="1"/>
        <cfvo type="num" val="1"/>
      </iconSet>
    </cfRule>
  </conditionalFormatting>
  <conditionalFormatting sqref="A123:A126">
    <cfRule type="iconSet" priority="9">
      <iconSet iconSet="3Symbols2" showValue="0">
        <cfvo type="percent" val="0"/>
        <cfvo type="num" val="1"/>
        <cfvo type="num" val="1"/>
      </iconSet>
    </cfRule>
  </conditionalFormatting>
  <conditionalFormatting sqref="D123:D126">
    <cfRule type="iconSet" priority="10">
      <iconSet iconSet="3Symbols2" showValue="0">
        <cfvo type="percent" val="0"/>
        <cfvo type="num" val="1"/>
        <cfvo type="num" val="1"/>
      </iconSet>
    </cfRule>
  </conditionalFormatting>
  <conditionalFormatting sqref="A127">
    <cfRule type="iconSet" priority="5">
      <iconSet iconSet="3Symbols2" showValue="0">
        <cfvo type="percent" val="0"/>
        <cfvo type="num" val="1"/>
        <cfvo type="num" val="1"/>
      </iconSet>
    </cfRule>
  </conditionalFormatting>
  <conditionalFormatting sqref="D127">
    <cfRule type="iconSet" priority="6">
      <iconSet iconSet="3Symbols2" showValue="0">
        <cfvo type="percent" val="0"/>
        <cfvo type="num" val="1"/>
        <cfvo type="num" val="1"/>
      </iconSet>
    </cfRule>
  </conditionalFormatting>
  <conditionalFormatting sqref="A129">
    <cfRule type="iconSet" priority="3">
      <iconSet iconSet="3Symbols2" showValue="0">
        <cfvo type="percent" val="0"/>
        <cfvo type="num" val="1"/>
        <cfvo type="num" val="1"/>
      </iconSet>
    </cfRule>
  </conditionalFormatting>
  <conditionalFormatting sqref="D129">
    <cfRule type="iconSet" priority="2">
      <iconSet iconSet="3Symbols2" showValue="0">
        <cfvo type="percent" val="0"/>
        <cfvo type="num" val="1"/>
        <cfvo type="num" val="1"/>
      </iconSet>
    </cfRule>
  </conditionalFormatting>
  <conditionalFormatting sqref="A130:A133">
    <cfRule type="iconSet" priority="4">
      <iconSet iconSet="3Symbols2" showValue="0">
        <cfvo type="percent" val="0"/>
        <cfvo type="num" val="1"/>
        <cfvo type="num" val="1"/>
      </iconSet>
    </cfRule>
  </conditionalFormatting>
  <conditionalFormatting sqref="D130:D133">
    <cfRule type="iconSet" priority="1">
      <iconSet iconSet="3Symbols2" showValue="0">
        <cfvo type="percent" val="0"/>
        <cfvo type="num" val="1"/>
        <cfvo type="num" val="1"/>
      </iconSet>
    </cfRule>
  </conditionalFormatting>
  <printOptions horizontalCentered="1"/>
  <pageMargins left="0.70866141732283472" right="0.70866141732283472" top="0.74803149606299213" bottom="0.74803149606299213" header="0.31496062992125984" footer="0.31496062992125984"/>
  <pageSetup scale="41"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ORRAR">
                <anchor moveWithCells="1" sizeWithCells="1">
                  <from>
                    <xdr:col>0</xdr:col>
                    <xdr:colOff>0</xdr:colOff>
                    <xdr:row>3</xdr:row>
                    <xdr:rowOff>171450</xdr:rowOff>
                  </from>
                  <to>
                    <xdr:col>1</xdr:col>
                    <xdr:colOff>781050</xdr:colOff>
                    <xdr:row>5</xdr:row>
                    <xdr:rowOff>180975</xdr:rowOff>
                  </to>
                </anchor>
              </controlPr>
            </control>
          </mc:Choice>
        </mc:AlternateContent>
        <mc:AlternateContent xmlns:mc="http://schemas.openxmlformats.org/markup-compatibility/2006">
          <mc:Choice Requires="x14">
            <control shapeId="1038" r:id="rId5" name="Button 14">
              <controlPr defaultSize="0" print="0" autoFill="0" autoPict="0" macro="[0]!GUARDAR2">
                <anchor moveWithCells="1" sizeWithCells="1">
                  <from>
                    <xdr:col>4</xdr:col>
                    <xdr:colOff>0</xdr:colOff>
                    <xdr:row>4</xdr:row>
                    <xdr:rowOff>0</xdr:rowOff>
                  </from>
                  <to>
                    <xdr:col>4</xdr:col>
                    <xdr:colOff>1428750</xdr:colOff>
                    <xdr:row>6</xdr:row>
                    <xdr:rowOff>38100</xdr:rowOff>
                  </to>
                </anchor>
              </controlPr>
            </control>
          </mc:Choice>
        </mc:AlternateContent>
        <mc:AlternateContent xmlns:mc="http://schemas.openxmlformats.org/markup-compatibility/2006">
          <mc:Choice Requires="x14">
            <control shapeId="1040" r:id="rId6" name="Button 16">
              <controlPr defaultSize="0" print="0" autoFill="0" autoPict="0" macro="[0]!Module1.GUARDAR">
                <anchor moveWithCells="1" sizeWithCells="1">
                  <from>
                    <xdr:col>1</xdr:col>
                    <xdr:colOff>1847850</xdr:colOff>
                    <xdr:row>3</xdr:row>
                    <xdr:rowOff>171450</xdr:rowOff>
                  </from>
                  <to>
                    <xdr:col>2</xdr:col>
                    <xdr:colOff>1266825</xdr:colOff>
                    <xdr:row>6</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0000000}">
          <x14:formula1>
            <xm:f>DATOS!$A$2:$A$5</xm:f>
          </x14:formula1>
          <xm:sqref>C11</xm:sqref>
        </x14:dataValidation>
        <x14:dataValidation type="list" allowBlank="1" showInputMessage="1" showErrorMessage="1" xr:uid="{00000000-0002-0000-0000-000001000000}">
          <x14:formula1>
            <xm:f>DATOS!$C$2:$C$3</xm:f>
          </x14:formula1>
          <xm:sqref>C14</xm:sqref>
        </x14:dataValidation>
        <x14:dataValidation type="list" allowBlank="1" showInputMessage="1" showErrorMessage="1" xr:uid="{00000000-0002-0000-0000-000002000000}">
          <x14:formula1>
            <xm:f>DATOS!$F$2:$F$81</xm:f>
          </x14:formula1>
          <xm:sqref>C19</xm:sqref>
        </x14:dataValidation>
        <x14:dataValidation type="list" allowBlank="1" showInputMessage="1" showErrorMessage="1" xr:uid="{00000000-0002-0000-0000-000003000000}">
          <x14:formula1>
            <xm:f>DATOS!$G$2:$G$983</xm:f>
          </x14:formula1>
          <xm:sqref>C20</xm:sqref>
        </x14:dataValidation>
        <x14:dataValidation type="list" allowBlank="1" showInputMessage="1" showErrorMessage="1" xr:uid="{00000000-0002-0000-0000-000004000000}">
          <x14:formula1>
            <xm:f>DATOS!$H$2:$H$52</xm:f>
          </x14:formula1>
          <xm:sqref>C21</xm:sqref>
        </x14:dataValidation>
        <x14:dataValidation type="list" allowBlank="1" showInputMessage="1" showErrorMessage="1" xr:uid="{00000000-0002-0000-0000-000005000000}">
          <x14:formula1>
            <xm:f>DATOS!$I$2:$I$5</xm:f>
          </x14:formula1>
          <xm:sqref>C23</xm:sqref>
        </x14:dataValidation>
        <x14:dataValidation type="list" allowBlank="1" showInputMessage="1" showErrorMessage="1" xr:uid="{00000000-0002-0000-0000-000006000000}">
          <x14:formula1>
            <xm:f>DATOS!$J$2:$J$195</xm:f>
          </x14:formula1>
          <xm:sqref>C36 D42:E48 C42:C44</xm:sqref>
        </x14:dataValidation>
        <x14:dataValidation type="list" allowBlank="1" showInputMessage="1" showErrorMessage="1" xr:uid="{00000000-0002-0000-0000-000007000000}">
          <x14:formula1>
            <xm:f>DATOS!$K$2:$K$3</xm:f>
          </x14:formula1>
          <xm:sqref>C39</xm:sqref>
        </x14:dataValidation>
        <x14:dataValidation type="list" allowBlank="1" showInputMessage="1" showErrorMessage="1" xr:uid="{00000000-0002-0000-0000-000008000000}">
          <x14:formula1>
            <xm:f>DATOS!$L$2:$L$5</xm:f>
          </x14:formula1>
          <xm:sqref>C41</xm:sqref>
        </x14:dataValidation>
        <x14:dataValidation type="list" allowBlank="1" showInputMessage="1" showErrorMessage="1" xr:uid="{00000000-0002-0000-0000-000009000000}">
          <x14:formula1>
            <xm:f>DATOS!$A$13</xm:f>
          </x14:formula1>
          <xm:sqref>I12:K12</xm:sqref>
        </x14:dataValidation>
        <x14:dataValidation type="list" allowBlank="1" showInputMessage="1" showErrorMessage="1" xr:uid="{00000000-0002-0000-0000-00000A000000}">
          <x14:formula1>
            <xm:f>DATOS!$A$25</xm:f>
          </x14:formula1>
          <xm:sqref>J13:K13</xm:sqref>
        </x14:dataValidation>
        <x14:dataValidation type="list" allowBlank="1" showInputMessage="1" showErrorMessage="1" xr:uid="{00000000-0002-0000-0000-00000B000000}">
          <x14:formula1>
            <xm:f>DATOS!$A$28</xm:f>
          </x14:formula1>
          <xm:sqref>J14:K14</xm:sqref>
        </x14:dataValidation>
        <x14:dataValidation type="list" allowBlank="1" showInputMessage="1" showErrorMessage="1" xr:uid="{00000000-0002-0000-0000-00000C000000}">
          <x14:formula1>
            <xm:f>DATOS!$A$35:$A$36</xm:f>
          </x14:formula1>
          <xm:sqref>I24 I39</xm:sqref>
        </x14:dataValidation>
        <x14:dataValidation type="list" allowBlank="1" showInputMessage="1" showErrorMessage="1" xr:uid="{00000000-0002-0000-0000-00000D000000}">
          <x14:formula1>
            <xm:f>DATOS!$A$14:$A$19</xm:f>
          </x14:formula1>
          <xm:sqref>I18</xm:sqref>
        </x14:dataValidation>
        <x14:dataValidation type="list" allowBlank="1" showInputMessage="1" showErrorMessage="1" xr:uid="{00000000-0002-0000-0000-00000E000000}">
          <x14:formula1>
            <xm:f>Nacionalidad!$A$2:$A$193</xm:f>
          </x14:formula1>
          <xm:sqref>C38</xm:sqref>
        </x14:dataValidation>
        <x14:dataValidation type="list" allowBlank="1" showInputMessage="1" showErrorMessage="1" xr:uid="{00000000-0002-0000-0000-00000F000000}">
          <x14:formula1>
            <xm:f>DATOS!$D$2:$D$16</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workbookViewId="0">
      <selection sqref="A1:XFD1048576"/>
    </sheetView>
  </sheetViews>
  <sheetFormatPr baseColWidth="10"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28515625" bestFit="1" customWidth="1" collapsed="1"/>
    <col min="6" max="6" width="14.7109375" bestFit="1" customWidth="1" collapsed="1"/>
    <col min="7" max="7" width="26.7109375" bestFit="1" customWidth="1" collapsed="1"/>
    <col min="8" max="8" width="11.42578125" style="8" collapsed="1"/>
    <col min="10" max="10" width="35.28515625" bestFit="1" customWidth="1" collapsed="1"/>
    <col min="12" max="12" width="15.5703125" bestFit="1" customWidth="1" collapsed="1"/>
    <col min="14" max="14" width="11.85546875" bestFit="1" customWidth="1" collapsed="1"/>
    <col min="15" max="15" width="102.85546875" bestFit="1" customWidth="1" collapsed="1"/>
  </cols>
  <sheetData>
    <row r="1" spans="1:15">
      <c r="A1" s="65" t="s">
        <v>184</v>
      </c>
      <c r="B1" s="65" t="s">
        <v>190</v>
      </c>
      <c r="C1" s="6" t="s">
        <v>191</v>
      </c>
      <c r="D1" s="6" t="s">
        <v>192</v>
      </c>
      <c r="E1" s="6" t="s">
        <v>196</v>
      </c>
      <c r="F1" s="6" t="s">
        <v>198</v>
      </c>
      <c r="G1" s="6" t="s">
        <v>199</v>
      </c>
      <c r="H1" s="69" t="s">
        <v>200</v>
      </c>
      <c r="I1" s="6" t="s">
        <v>518</v>
      </c>
      <c r="J1" s="6" t="s">
        <v>523</v>
      </c>
      <c r="K1" s="6" t="s">
        <v>717</v>
      </c>
      <c r="L1" s="6" t="s">
        <v>720</v>
      </c>
      <c r="N1" t="s">
        <v>88</v>
      </c>
      <c r="O1" t="str">
        <f>+CONCATENATE(N1,"_",N2,"_",N4)</f>
        <v>PCR_VIS_0</v>
      </c>
    </row>
    <row r="2" spans="1:15">
      <c r="A2" s="8" t="s">
        <v>1725</v>
      </c>
      <c r="B2" s="8" t="s">
        <v>189</v>
      </c>
      <c r="C2" s="8" t="s">
        <v>91</v>
      </c>
      <c r="D2" t="s">
        <v>1712</v>
      </c>
      <c r="E2" s="8" t="s">
        <v>1711</v>
      </c>
      <c r="F2" t="s">
        <v>204</v>
      </c>
      <c r="G2" s="8" t="s">
        <v>250</v>
      </c>
      <c r="H2" s="8">
        <v>2000</v>
      </c>
      <c r="I2" s="8" t="s">
        <v>519</v>
      </c>
      <c r="J2" t="s">
        <v>524</v>
      </c>
      <c r="K2" t="s">
        <v>718</v>
      </c>
      <c r="L2" t="s">
        <v>723</v>
      </c>
      <c r="N2" t="str">
        <f>+IF(FORMULARIO!C11="TUMBA MUERTO","TBM","VIS")</f>
        <v>VIS</v>
      </c>
      <c r="O2" t="s">
        <v>1340</v>
      </c>
    </row>
    <row r="3" spans="1:15">
      <c r="A3" s="8" t="s">
        <v>1726</v>
      </c>
      <c r="B3" s="8"/>
      <c r="C3" s="8" t="s">
        <v>1699</v>
      </c>
      <c r="D3" t="s">
        <v>1719</v>
      </c>
      <c r="E3" s="8" t="s">
        <v>1710</v>
      </c>
      <c r="F3" t="s">
        <v>1727</v>
      </c>
      <c r="G3" s="8" t="s">
        <v>253</v>
      </c>
      <c r="H3" s="8">
        <v>2001</v>
      </c>
      <c r="I3" s="8" t="s">
        <v>520</v>
      </c>
      <c r="J3" t="s">
        <v>525</v>
      </c>
      <c r="K3" t="s">
        <v>719</v>
      </c>
      <c r="L3" t="s">
        <v>724</v>
      </c>
      <c r="N3" s="122">
        <f>+FORMULARIO!C13</f>
        <v>0</v>
      </c>
    </row>
    <row r="4" spans="1:15">
      <c r="A4" s="8" t="s">
        <v>187</v>
      </c>
      <c r="D4" t="s">
        <v>1720</v>
      </c>
      <c r="E4" s="8" t="s">
        <v>1718</v>
      </c>
      <c r="F4" t="s">
        <v>213</v>
      </c>
      <c r="G4" s="8" t="s">
        <v>93</v>
      </c>
      <c r="H4" s="8">
        <v>2002</v>
      </c>
      <c r="I4" s="8" t="s">
        <v>521</v>
      </c>
      <c r="J4" t="s">
        <v>526</v>
      </c>
      <c r="L4" t="s">
        <v>722</v>
      </c>
      <c r="N4">
        <f>+FORMULARIO!C22</f>
        <v>0</v>
      </c>
    </row>
    <row r="5" spans="1:15">
      <c r="A5" s="8" t="s">
        <v>188</v>
      </c>
      <c r="D5" t="s">
        <v>1713</v>
      </c>
      <c r="E5" s="8" t="s">
        <v>1724</v>
      </c>
      <c r="F5" t="s">
        <v>92</v>
      </c>
      <c r="G5" s="8" t="s">
        <v>1728</v>
      </c>
      <c r="H5" s="8">
        <v>2003</v>
      </c>
      <c r="I5" s="8" t="s">
        <v>522</v>
      </c>
      <c r="J5" t="s">
        <v>527</v>
      </c>
      <c r="K5" s="96">
        <v>1</v>
      </c>
      <c r="L5" t="s">
        <v>721</v>
      </c>
    </row>
    <row r="6" spans="1:15">
      <c r="D6" t="s">
        <v>194</v>
      </c>
      <c r="E6" s="8"/>
      <c r="F6" t="s">
        <v>218</v>
      </c>
      <c r="G6" s="8" t="s">
        <v>795</v>
      </c>
      <c r="H6" s="8">
        <v>2004</v>
      </c>
      <c r="I6" s="8"/>
      <c r="J6" t="s">
        <v>528</v>
      </c>
    </row>
    <row r="7" spans="1:15">
      <c r="A7" s="6" t="s">
        <v>1358</v>
      </c>
      <c r="D7" t="s">
        <v>1716</v>
      </c>
      <c r="E7" s="6" t="s">
        <v>87</v>
      </c>
      <c r="F7" t="s">
        <v>227</v>
      </c>
      <c r="G7" s="8" t="s">
        <v>1729</v>
      </c>
      <c r="H7" s="8">
        <v>2005</v>
      </c>
      <c r="I7" s="8"/>
      <c r="J7" t="s">
        <v>529</v>
      </c>
    </row>
    <row r="8" spans="1:15">
      <c r="A8" t="s">
        <v>0</v>
      </c>
      <c r="D8" t="s">
        <v>193</v>
      </c>
      <c r="E8" t="s">
        <v>197</v>
      </c>
      <c r="F8" t="s">
        <v>229</v>
      </c>
      <c r="G8" s="8" t="s">
        <v>1730</v>
      </c>
      <c r="H8" s="8">
        <v>2006</v>
      </c>
      <c r="I8" s="8"/>
      <c r="J8" t="s">
        <v>530</v>
      </c>
    </row>
    <row r="9" spans="1:15">
      <c r="D9" t="s">
        <v>195</v>
      </c>
      <c r="F9" t="s">
        <v>240</v>
      </c>
      <c r="G9" s="8" t="s">
        <v>883</v>
      </c>
      <c r="H9" s="8">
        <v>2007</v>
      </c>
      <c r="I9" s="8"/>
      <c r="J9" t="s">
        <v>531</v>
      </c>
    </row>
    <row r="10" spans="1:15">
      <c r="D10" t="s">
        <v>1721</v>
      </c>
      <c r="F10" t="s">
        <v>242</v>
      </c>
      <c r="G10" s="8" t="s">
        <v>1731</v>
      </c>
      <c r="H10" s="8">
        <v>2008</v>
      </c>
      <c r="I10" s="8"/>
      <c r="J10" t="s">
        <v>532</v>
      </c>
    </row>
    <row r="11" spans="1:15">
      <c r="D11" t="s">
        <v>1722</v>
      </c>
      <c r="F11" t="s">
        <v>201</v>
      </c>
      <c r="G11" s="8" t="s">
        <v>895</v>
      </c>
      <c r="H11" s="8">
        <v>2009</v>
      </c>
      <c r="I11" s="8"/>
      <c r="J11" t="s">
        <v>533</v>
      </c>
    </row>
    <row r="12" spans="1:15">
      <c r="A12" s="65" t="s">
        <v>1370</v>
      </c>
      <c r="D12" t="s">
        <v>1715</v>
      </c>
      <c r="F12" t="s">
        <v>202</v>
      </c>
      <c r="G12" s="8" t="s">
        <v>1732</v>
      </c>
      <c r="H12" s="8">
        <v>2010</v>
      </c>
      <c r="I12" s="8"/>
      <c r="J12" t="s">
        <v>534</v>
      </c>
    </row>
    <row r="13" spans="1:15">
      <c r="A13" t="s">
        <v>1416</v>
      </c>
      <c r="D13" t="s">
        <v>1709</v>
      </c>
      <c r="F13" t="s">
        <v>725</v>
      </c>
      <c r="G13" s="8" t="s">
        <v>326</v>
      </c>
      <c r="H13" s="8">
        <v>2011</v>
      </c>
      <c r="I13" s="8"/>
      <c r="J13" t="s">
        <v>535</v>
      </c>
    </row>
    <row r="14" spans="1:15">
      <c r="A14" t="s">
        <v>1453</v>
      </c>
      <c r="D14" t="s">
        <v>1717</v>
      </c>
      <c r="F14" t="s">
        <v>726</v>
      </c>
      <c r="G14" s="8" t="s">
        <v>1704</v>
      </c>
      <c r="H14" s="8">
        <v>2012</v>
      </c>
      <c r="I14" s="8"/>
      <c r="J14" t="s">
        <v>536</v>
      </c>
    </row>
    <row r="15" spans="1:15">
      <c r="A15" t="s">
        <v>1451</v>
      </c>
      <c r="D15" t="s">
        <v>1714</v>
      </c>
      <c r="F15" t="s">
        <v>727</v>
      </c>
      <c r="G15" s="8" t="s">
        <v>1733</v>
      </c>
      <c r="H15" s="8">
        <v>2013</v>
      </c>
      <c r="I15" s="8"/>
      <c r="J15" t="s">
        <v>537</v>
      </c>
    </row>
    <row r="16" spans="1:15">
      <c r="A16" t="s">
        <v>1417</v>
      </c>
      <c r="D16" t="s">
        <v>1723</v>
      </c>
      <c r="F16" t="s">
        <v>203</v>
      </c>
      <c r="G16" s="8" t="s">
        <v>1734</v>
      </c>
      <c r="H16" s="8">
        <v>2014</v>
      </c>
      <c r="I16" s="8"/>
      <c r="J16" t="s">
        <v>538</v>
      </c>
    </row>
    <row r="17" spans="1:10">
      <c r="A17" t="s">
        <v>1419</v>
      </c>
      <c r="F17" t="s">
        <v>728</v>
      </c>
      <c r="G17" s="8" t="s">
        <v>1735</v>
      </c>
      <c r="H17" s="8">
        <v>2015</v>
      </c>
      <c r="I17" s="8"/>
      <c r="J17" t="s">
        <v>539</v>
      </c>
    </row>
    <row r="18" spans="1:10">
      <c r="A18" t="s">
        <v>1452</v>
      </c>
      <c r="F18" t="s">
        <v>729</v>
      </c>
      <c r="G18" s="8" t="s">
        <v>1736</v>
      </c>
      <c r="H18" s="8">
        <v>2016</v>
      </c>
      <c r="I18" s="8"/>
      <c r="J18" t="s">
        <v>540</v>
      </c>
    </row>
    <row r="19" spans="1:10">
      <c r="A19" t="s">
        <v>1418</v>
      </c>
      <c r="F19" t="s">
        <v>205</v>
      </c>
      <c r="G19" s="8" t="s">
        <v>1737</v>
      </c>
      <c r="H19" s="8">
        <v>2017</v>
      </c>
      <c r="I19" s="8"/>
      <c r="J19" t="s">
        <v>541</v>
      </c>
    </row>
    <row r="20" spans="1:10">
      <c r="F20" t="s">
        <v>730</v>
      </c>
      <c r="G20" s="8" t="s">
        <v>1738</v>
      </c>
      <c r="H20" s="8">
        <v>2018</v>
      </c>
      <c r="I20" s="8"/>
      <c r="J20" t="s">
        <v>542</v>
      </c>
    </row>
    <row r="21" spans="1:10">
      <c r="F21" t="s">
        <v>206</v>
      </c>
      <c r="G21" s="8" t="s">
        <v>1739</v>
      </c>
      <c r="H21" s="8">
        <v>2019</v>
      </c>
      <c r="I21" s="8"/>
      <c r="J21" t="s">
        <v>543</v>
      </c>
    </row>
    <row r="22" spans="1:10">
      <c r="F22" t="s">
        <v>731</v>
      </c>
      <c r="G22" s="8" t="s">
        <v>1740</v>
      </c>
      <c r="H22" s="8">
        <v>2020</v>
      </c>
      <c r="I22" s="8"/>
      <c r="J22" t="s">
        <v>544</v>
      </c>
    </row>
    <row r="23" spans="1:10">
      <c r="F23" t="s">
        <v>207</v>
      </c>
      <c r="G23" s="8" t="s">
        <v>1741</v>
      </c>
      <c r="H23" s="8">
        <v>2021</v>
      </c>
      <c r="I23" s="8"/>
      <c r="J23" t="s">
        <v>545</v>
      </c>
    </row>
    <row r="24" spans="1:10">
      <c r="A24" s="65" t="s">
        <v>1420</v>
      </c>
      <c r="F24" t="s">
        <v>732</v>
      </c>
      <c r="G24" s="8" t="s">
        <v>367</v>
      </c>
      <c r="H24" s="8">
        <v>2022</v>
      </c>
      <c r="I24" s="8"/>
      <c r="J24" t="s">
        <v>546</v>
      </c>
    </row>
    <row r="25" spans="1:10">
      <c r="A25" t="s">
        <v>1421</v>
      </c>
      <c r="F25" t="s">
        <v>208</v>
      </c>
      <c r="G25" s="8" t="s">
        <v>1742</v>
      </c>
      <c r="H25" s="8">
        <v>2023</v>
      </c>
      <c r="I25" s="8"/>
      <c r="J25" t="s">
        <v>547</v>
      </c>
    </row>
    <row r="26" spans="1:10">
      <c r="F26" t="s">
        <v>733</v>
      </c>
      <c r="G26" s="8" t="s">
        <v>1743</v>
      </c>
      <c r="H26" s="8">
        <v>2024</v>
      </c>
      <c r="I26" s="8"/>
      <c r="J26" t="s">
        <v>548</v>
      </c>
    </row>
    <row r="27" spans="1:10">
      <c r="A27" s="65" t="s">
        <v>1422</v>
      </c>
      <c r="F27" t="s">
        <v>209</v>
      </c>
      <c r="G27" s="8" t="s">
        <v>1744</v>
      </c>
      <c r="H27" s="8">
        <v>2025</v>
      </c>
      <c r="I27" s="8"/>
      <c r="J27" t="s">
        <v>549</v>
      </c>
    </row>
    <row r="28" spans="1:10">
      <c r="A28" t="s">
        <v>1423</v>
      </c>
      <c r="F28" t="s">
        <v>734</v>
      </c>
      <c r="G28" s="8" t="s">
        <v>1745</v>
      </c>
      <c r="H28" s="8">
        <v>2026</v>
      </c>
      <c r="I28" s="8"/>
      <c r="J28" t="s">
        <v>550</v>
      </c>
    </row>
    <row r="29" spans="1:10">
      <c r="F29" t="s">
        <v>735</v>
      </c>
      <c r="G29" s="8" t="s">
        <v>377</v>
      </c>
      <c r="H29" s="8">
        <v>2027</v>
      </c>
      <c r="I29" s="8"/>
      <c r="J29" t="s">
        <v>551</v>
      </c>
    </row>
    <row r="30" spans="1:10">
      <c r="A30" s="65" t="s">
        <v>1433</v>
      </c>
      <c r="F30" t="s">
        <v>736</v>
      </c>
      <c r="G30" s="8" t="s">
        <v>394</v>
      </c>
      <c r="H30" s="8">
        <v>2028</v>
      </c>
      <c r="I30" s="8"/>
      <c r="J30" t="s">
        <v>552</v>
      </c>
    </row>
    <row r="31" spans="1:10">
      <c r="A31" s="96" t="s">
        <v>1434</v>
      </c>
      <c r="F31" t="s">
        <v>737</v>
      </c>
      <c r="G31" s="8" t="s">
        <v>1746</v>
      </c>
      <c r="H31" s="8">
        <v>2029</v>
      </c>
      <c r="I31" s="8"/>
      <c r="J31" t="s">
        <v>553</v>
      </c>
    </row>
    <row r="32" spans="1:10">
      <c r="A32" s="96" t="s">
        <v>1435</v>
      </c>
      <c r="F32" t="s">
        <v>738</v>
      </c>
      <c r="G32" s="8" t="s">
        <v>1747</v>
      </c>
      <c r="H32" s="8">
        <v>2030</v>
      </c>
      <c r="I32" s="8"/>
      <c r="J32" t="s">
        <v>554</v>
      </c>
    </row>
    <row r="33" spans="1:10">
      <c r="F33" t="s">
        <v>210</v>
      </c>
      <c r="G33" s="8" t="s">
        <v>411</v>
      </c>
      <c r="H33" s="8">
        <v>2031</v>
      </c>
      <c r="I33" s="8"/>
      <c r="J33" t="s">
        <v>555</v>
      </c>
    </row>
    <row r="34" spans="1:10">
      <c r="A34" s="65" t="s">
        <v>1376</v>
      </c>
      <c r="F34" t="s">
        <v>211</v>
      </c>
      <c r="G34" s="8" t="s">
        <v>414</v>
      </c>
      <c r="H34" s="8">
        <v>2032</v>
      </c>
      <c r="I34" s="8"/>
      <c r="J34" t="s">
        <v>556</v>
      </c>
    </row>
    <row r="35" spans="1:10">
      <c r="A35" t="s">
        <v>1436</v>
      </c>
      <c r="F35" t="s">
        <v>212</v>
      </c>
      <c r="G35" s="8" t="s">
        <v>1748</v>
      </c>
      <c r="H35" s="8">
        <v>2033</v>
      </c>
      <c r="I35" s="8"/>
      <c r="J35" t="s">
        <v>557</v>
      </c>
    </row>
    <row r="36" spans="1:10">
      <c r="A36" t="s">
        <v>1437</v>
      </c>
      <c r="F36" t="s">
        <v>739</v>
      </c>
      <c r="G36" s="8" t="s">
        <v>1705</v>
      </c>
      <c r="H36" s="8">
        <v>2034</v>
      </c>
      <c r="I36" s="8"/>
      <c r="J36" t="s">
        <v>558</v>
      </c>
    </row>
    <row r="37" spans="1:10">
      <c r="F37" t="s">
        <v>740</v>
      </c>
      <c r="G37" s="8" t="s">
        <v>1749</v>
      </c>
      <c r="H37" s="8">
        <v>2035</v>
      </c>
      <c r="I37" s="8"/>
      <c r="J37" t="s">
        <v>559</v>
      </c>
    </row>
    <row r="38" spans="1:10">
      <c r="A38" s="65" t="s">
        <v>1438</v>
      </c>
      <c r="F38" t="s">
        <v>741</v>
      </c>
      <c r="G38" s="8" t="s">
        <v>1750</v>
      </c>
      <c r="H38" s="8">
        <v>2036</v>
      </c>
      <c r="I38" s="8"/>
      <c r="J38" t="s">
        <v>560</v>
      </c>
    </row>
    <row r="39" spans="1:10">
      <c r="A39" t="s">
        <v>1439</v>
      </c>
      <c r="F39" t="s">
        <v>214</v>
      </c>
      <c r="G39" s="8" t="s">
        <v>454</v>
      </c>
      <c r="H39" s="8">
        <v>2037</v>
      </c>
      <c r="I39" s="8"/>
      <c r="J39" t="s">
        <v>561</v>
      </c>
    </row>
    <row r="40" spans="1:10">
      <c r="A40" t="s">
        <v>1440</v>
      </c>
      <c r="F40" t="s">
        <v>742</v>
      </c>
      <c r="G40" s="8" t="s">
        <v>466</v>
      </c>
      <c r="H40" s="8">
        <v>2038</v>
      </c>
      <c r="I40" s="8"/>
      <c r="J40" t="s">
        <v>562</v>
      </c>
    </row>
    <row r="41" spans="1:10">
      <c r="F41" t="s">
        <v>215</v>
      </c>
      <c r="G41" s="8" t="s">
        <v>469</v>
      </c>
      <c r="H41" s="8">
        <v>2039</v>
      </c>
      <c r="I41" s="8"/>
      <c r="J41" t="s">
        <v>563</v>
      </c>
    </row>
    <row r="42" spans="1:10">
      <c r="A42" s="65" t="s">
        <v>1441</v>
      </c>
      <c r="F42" t="s">
        <v>743</v>
      </c>
      <c r="G42" s="8" t="s">
        <v>1274</v>
      </c>
      <c r="H42" s="8">
        <v>2040</v>
      </c>
      <c r="I42" s="8"/>
      <c r="J42" t="s">
        <v>564</v>
      </c>
    </row>
    <row r="43" spans="1:10">
      <c r="A43" t="s">
        <v>189</v>
      </c>
      <c r="F43" t="s">
        <v>744</v>
      </c>
      <c r="G43" s="8" t="s">
        <v>1751</v>
      </c>
      <c r="H43" s="8">
        <v>2041</v>
      </c>
      <c r="I43" s="8"/>
      <c r="J43" t="s">
        <v>565</v>
      </c>
    </row>
    <row r="44" spans="1:10">
      <c r="F44" t="s">
        <v>216</v>
      </c>
      <c r="G44" s="8" t="s">
        <v>1752</v>
      </c>
      <c r="H44" s="8">
        <v>2042</v>
      </c>
      <c r="I44" s="8"/>
      <c r="J44" t="s">
        <v>566</v>
      </c>
    </row>
    <row r="45" spans="1:10">
      <c r="A45" s="65" t="s">
        <v>1442</v>
      </c>
      <c r="F45" t="s">
        <v>217</v>
      </c>
      <c r="G45" s="8" t="s">
        <v>512</v>
      </c>
      <c r="H45" s="8">
        <v>2043</v>
      </c>
      <c r="I45" s="8"/>
      <c r="J45" t="s">
        <v>567</v>
      </c>
    </row>
    <row r="46" spans="1:10">
      <c r="A46" t="s">
        <v>1444</v>
      </c>
      <c r="F46" t="s">
        <v>219</v>
      </c>
      <c r="G46" s="8">
        <v>500</v>
      </c>
      <c r="H46" s="8">
        <v>2044</v>
      </c>
      <c r="I46" s="8"/>
      <c r="J46" t="s">
        <v>568</v>
      </c>
    </row>
    <row r="47" spans="1:10">
      <c r="A47" t="s">
        <v>1443</v>
      </c>
      <c r="F47" t="s">
        <v>220</v>
      </c>
      <c r="G47" s="8">
        <v>4</v>
      </c>
      <c r="H47" s="8">
        <v>2045</v>
      </c>
      <c r="I47" s="8"/>
      <c r="J47" t="s">
        <v>569</v>
      </c>
    </row>
    <row r="48" spans="1:10">
      <c r="F48" t="s">
        <v>221</v>
      </c>
      <c r="G48" s="8">
        <v>10</v>
      </c>
      <c r="H48" s="8">
        <v>2046</v>
      </c>
      <c r="I48" s="8"/>
      <c r="J48" t="s">
        <v>570</v>
      </c>
    </row>
    <row r="49" spans="6:10">
      <c r="F49" t="s">
        <v>745</v>
      </c>
      <c r="G49" s="8">
        <v>24</v>
      </c>
      <c r="H49" s="8">
        <v>2047</v>
      </c>
      <c r="I49" s="8"/>
      <c r="J49" t="s">
        <v>571</v>
      </c>
    </row>
    <row r="50" spans="6:10">
      <c r="F50" t="s">
        <v>746</v>
      </c>
      <c r="G50" s="8">
        <v>25</v>
      </c>
      <c r="H50" s="8">
        <v>2048</v>
      </c>
      <c r="I50" s="8"/>
      <c r="J50" t="s">
        <v>572</v>
      </c>
    </row>
    <row r="51" spans="6:10">
      <c r="F51" t="s">
        <v>222</v>
      </c>
      <c r="G51" s="8">
        <v>33</v>
      </c>
      <c r="H51" s="8">
        <v>2049</v>
      </c>
      <c r="I51" s="8"/>
      <c r="J51" t="s">
        <v>573</v>
      </c>
    </row>
    <row r="52" spans="6:10">
      <c r="F52" t="s">
        <v>747</v>
      </c>
      <c r="G52" s="8">
        <v>44</v>
      </c>
      <c r="H52" s="8">
        <v>2050</v>
      </c>
      <c r="I52" s="8"/>
      <c r="J52" t="s">
        <v>574</v>
      </c>
    </row>
    <row r="53" spans="6:10">
      <c r="F53" t="s">
        <v>223</v>
      </c>
      <c r="G53" s="8">
        <v>45</v>
      </c>
      <c r="I53" s="8"/>
      <c r="J53" t="s">
        <v>575</v>
      </c>
    </row>
    <row r="54" spans="6:10">
      <c r="F54" t="s">
        <v>224</v>
      </c>
      <c r="G54" s="8">
        <v>75</v>
      </c>
      <c r="I54" s="8"/>
      <c r="J54" t="s">
        <v>576</v>
      </c>
    </row>
    <row r="55" spans="6:10">
      <c r="F55" t="s">
        <v>748</v>
      </c>
      <c r="G55" s="8">
        <v>80</v>
      </c>
      <c r="I55" s="8"/>
      <c r="J55" t="s">
        <v>577</v>
      </c>
    </row>
    <row r="56" spans="6:10">
      <c r="F56" t="s">
        <v>225</v>
      </c>
      <c r="G56" s="8">
        <v>90</v>
      </c>
      <c r="I56" s="8"/>
      <c r="J56" t="s">
        <v>578</v>
      </c>
    </row>
    <row r="57" spans="6:10">
      <c r="F57" t="s">
        <v>749</v>
      </c>
      <c r="G57" s="8">
        <v>93</v>
      </c>
      <c r="I57" s="8"/>
      <c r="J57" t="s">
        <v>579</v>
      </c>
    </row>
    <row r="58" spans="6:10">
      <c r="F58" t="s">
        <v>750</v>
      </c>
      <c r="G58" s="8">
        <v>95</v>
      </c>
      <c r="I58" s="8"/>
      <c r="J58" t="s">
        <v>580</v>
      </c>
    </row>
    <row r="59" spans="6:10">
      <c r="F59" t="s">
        <v>226</v>
      </c>
      <c r="G59" s="8">
        <v>100</v>
      </c>
      <c r="I59" s="8"/>
      <c r="J59" t="s">
        <v>581</v>
      </c>
    </row>
    <row r="60" spans="6:10">
      <c r="F60" t="s">
        <v>228</v>
      </c>
      <c r="G60" s="8">
        <v>106</v>
      </c>
      <c r="I60" s="8"/>
      <c r="J60" t="s">
        <v>582</v>
      </c>
    </row>
    <row r="61" spans="6:10">
      <c r="F61" t="s">
        <v>230</v>
      </c>
      <c r="G61" s="8">
        <v>107</v>
      </c>
      <c r="I61" s="8"/>
      <c r="J61" t="s">
        <v>583</v>
      </c>
    </row>
    <row r="62" spans="6:10">
      <c r="F62" t="s">
        <v>231</v>
      </c>
      <c r="G62" s="8">
        <v>121</v>
      </c>
      <c r="I62" s="8"/>
      <c r="J62" t="s">
        <v>584</v>
      </c>
    </row>
    <row r="63" spans="6:10">
      <c r="F63" t="s">
        <v>751</v>
      </c>
      <c r="G63" s="8">
        <v>130</v>
      </c>
      <c r="I63" s="8"/>
      <c r="J63" t="s">
        <v>585</v>
      </c>
    </row>
    <row r="64" spans="6:10">
      <c r="F64" t="s">
        <v>232</v>
      </c>
      <c r="G64" s="8">
        <v>145</v>
      </c>
      <c r="I64" s="8"/>
      <c r="J64" t="s">
        <v>586</v>
      </c>
    </row>
    <row r="65" spans="6:10">
      <c r="F65" t="s">
        <v>233</v>
      </c>
      <c r="G65" s="8">
        <v>146</v>
      </c>
      <c r="I65" s="8"/>
      <c r="J65" t="s">
        <v>587</v>
      </c>
    </row>
    <row r="66" spans="6:10">
      <c r="F66" t="s">
        <v>234</v>
      </c>
      <c r="G66" s="8">
        <v>147</v>
      </c>
      <c r="I66" s="8"/>
      <c r="J66" t="s">
        <v>588</v>
      </c>
    </row>
    <row r="67" spans="6:10">
      <c r="F67" t="s">
        <v>752</v>
      </c>
      <c r="G67" s="8">
        <v>155</v>
      </c>
      <c r="I67" s="8"/>
      <c r="J67" t="s">
        <v>589</v>
      </c>
    </row>
    <row r="68" spans="6:10">
      <c r="F68" t="s">
        <v>753</v>
      </c>
      <c r="G68" s="8">
        <v>156</v>
      </c>
      <c r="I68" s="8"/>
      <c r="J68" t="s">
        <v>590</v>
      </c>
    </row>
    <row r="69" spans="6:10">
      <c r="F69" t="s">
        <v>754</v>
      </c>
      <c r="G69" s="8">
        <v>159</v>
      </c>
      <c r="I69" s="8"/>
      <c r="J69" t="s">
        <v>591</v>
      </c>
    </row>
    <row r="70" spans="6:10">
      <c r="F70" t="s">
        <v>235</v>
      </c>
      <c r="G70" s="8">
        <v>164</v>
      </c>
      <c r="I70" s="8"/>
      <c r="J70" t="s">
        <v>592</v>
      </c>
    </row>
    <row r="71" spans="6:10">
      <c r="F71" t="s">
        <v>236</v>
      </c>
      <c r="G71" s="8">
        <v>166</v>
      </c>
      <c r="I71" s="8"/>
      <c r="J71" t="s">
        <v>593</v>
      </c>
    </row>
    <row r="72" spans="6:10">
      <c r="F72" t="s">
        <v>237</v>
      </c>
      <c r="G72" s="8">
        <v>190</v>
      </c>
      <c r="I72" s="8"/>
      <c r="J72" t="s">
        <v>594</v>
      </c>
    </row>
    <row r="73" spans="6:10">
      <c r="F73" t="s">
        <v>238</v>
      </c>
      <c r="G73" s="8">
        <v>200</v>
      </c>
      <c r="I73" s="8"/>
      <c r="J73" t="s">
        <v>595</v>
      </c>
    </row>
    <row r="74" spans="6:10">
      <c r="F74" t="s">
        <v>239</v>
      </c>
      <c r="G74" s="8">
        <v>205</v>
      </c>
      <c r="I74" s="8"/>
      <c r="J74" t="s">
        <v>596</v>
      </c>
    </row>
    <row r="75" spans="6:10">
      <c r="F75" t="s">
        <v>755</v>
      </c>
      <c r="G75" s="8">
        <v>206</v>
      </c>
      <c r="I75" s="8"/>
      <c r="J75" t="s">
        <v>597</v>
      </c>
    </row>
    <row r="76" spans="6:10">
      <c r="F76" t="s">
        <v>241</v>
      </c>
      <c r="G76" s="8">
        <v>207</v>
      </c>
      <c r="I76" s="8"/>
      <c r="J76" t="s">
        <v>598</v>
      </c>
    </row>
    <row r="77" spans="6:10">
      <c r="F77" t="s">
        <v>756</v>
      </c>
      <c r="G77" s="8">
        <v>208</v>
      </c>
      <c r="I77" s="8"/>
      <c r="J77" t="s">
        <v>599</v>
      </c>
    </row>
    <row r="78" spans="6:10">
      <c r="F78" t="s">
        <v>757</v>
      </c>
      <c r="G78" s="8">
        <v>214</v>
      </c>
      <c r="I78" s="8"/>
      <c r="J78" t="s">
        <v>600</v>
      </c>
    </row>
    <row r="79" spans="6:10">
      <c r="F79" t="s">
        <v>243</v>
      </c>
      <c r="G79" s="8">
        <v>215</v>
      </c>
      <c r="I79" s="8"/>
      <c r="J79" t="s">
        <v>601</v>
      </c>
    </row>
    <row r="80" spans="6:10">
      <c r="F80" t="s">
        <v>244</v>
      </c>
      <c r="G80" s="8">
        <v>220</v>
      </c>
      <c r="I80" s="8"/>
      <c r="J80" t="s">
        <v>602</v>
      </c>
    </row>
    <row r="81" spans="6:10">
      <c r="F81" t="s">
        <v>758</v>
      </c>
      <c r="G81" s="8">
        <v>224</v>
      </c>
      <c r="I81" s="8"/>
      <c r="J81" t="s">
        <v>603</v>
      </c>
    </row>
    <row r="82" spans="6:10">
      <c r="G82" s="8">
        <v>228</v>
      </c>
      <c r="I82" s="8"/>
      <c r="J82" t="s">
        <v>604</v>
      </c>
    </row>
    <row r="83" spans="6:10">
      <c r="G83" s="8">
        <v>230</v>
      </c>
      <c r="I83" s="8"/>
      <c r="J83" t="s">
        <v>605</v>
      </c>
    </row>
    <row r="84" spans="6:10">
      <c r="G84" s="8">
        <v>240</v>
      </c>
      <c r="I84" s="8"/>
      <c r="J84" t="s">
        <v>606</v>
      </c>
    </row>
    <row r="85" spans="6:10">
      <c r="G85" s="8">
        <v>260</v>
      </c>
      <c r="I85" s="8"/>
      <c r="J85" t="s">
        <v>607</v>
      </c>
    </row>
    <row r="86" spans="6:10">
      <c r="G86" s="8">
        <v>280</v>
      </c>
      <c r="I86" s="8"/>
      <c r="J86" t="s">
        <v>608</v>
      </c>
    </row>
    <row r="87" spans="6:10">
      <c r="G87" s="8">
        <v>300</v>
      </c>
      <c r="I87" s="8"/>
      <c r="J87" t="s">
        <v>609</v>
      </c>
    </row>
    <row r="88" spans="6:10">
      <c r="G88" s="8">
        <v>306</v>
      </c>
      <c r="I88" s="8"/>
      <c r="J88" t="s">
        <v>610</v>
      </c>
    </row>
    <row r="89" spans="6:10">
      <c r="G89" s="8">
        <v>307</v>
      </c>
      <c r="I89" s="8"/>
      <c r="J89" t="s">
        <v>611</v>
      </c>
    </row>
    <row r="90" spans="6:10">
      <c r="G90" s="8">
        <v>308</v>
      </c>
      <c r="I90" s="8"/>
      <c r="J90" t="s">
        <v>612</v>
      </c>
    </row>
    <row r="91" spans="6:10">
      <c r="G91" s="8">
        <v>309</v>
      </c>
      <c r="I91" s="8"/>
      <c r="J91" t="s">
        <v>613</v>
      </c>
    </row>
    <row r="92" spans="6:10">
      <c r="G92" s="8">
        <v>323</v>
      </c>
      <c r="I92" s="8"/>
      <c r="J92" t="s">
        <v>614</v>
      </c>
    </row>
    <row r="93" spans="6:10">
      <c r="G93" s="8">
        <v>328</v>
      </c>
      <c r="I93" s="8"/>
      <c r="J93" t="s">
        <v>615</v>
      </c>
    </row>
    <row r="94" spans="6:10">
      <c r="G94" s="8">
        <v>340</v>
      </c>
      <c r="I94" s="8"/>
      <c r="J94" t="s">
        <v>616</v>
      </c>
    </row>
    <row r="95" spans="6:10">
      <c r="G95" s="8">
        <v>348</v>
      </c>
      <c r="I95" s="8"/>
      <c r="J95" t="s">
        <v>617</v>
      </c>
    </row>
    <row r="96" spans="6:10">
      <c r="G96" s="8">
        <v>350</v>
      </c>
      <c r="I96" s="8"/>
      <c r="J96" t="s">
        <v>618</v>
      </c>
    </row>
    <row r="97" spans="7:10">
      <c r="G97" s="8">
        <v>353</v>
      </c>
      <c r="I97" s="8"/>
      <c r="J97" t="s">
        <v>619</v>
      </c>
    </row>
    <row r="98" spans="7:10">
      <c r="G98" s="8">
        <v>355</v>
      </c>
      <c r="I98" s="8"/>
      <c r="J98" t="s">
        <v>620</v>
      </c>
    </row>
    <row r="99" spans="7:10">
      <c r="G99" s="8">
        <v>360</v>
      </c>
      <c r="I99" s="8"/>
      <c r="J99" t="s">
        <v>621</v>
      </c>
    </row>
    <row r="100" spans="7:10">
      <c r="G100" s="8">
        <v>400</v>
      </c>
      <c r="I100" s="8"/>
      <c r="J100" t="s">
        <v>622</v>
      </c>
    </row>
    <row r="101" spans="7:10">
      <c r="G101" s="8">
        <v>405</v>
      </c>
      <c r="I101" s="8"/>
      <c r="J101" t="s">
        <v>623</v>
      </c>
    </row>
    <row r="102" spans="7:10">
      <c r="G102" s="8">
        <v>406</v>
      </c>
      <c r="I102" s="8"/>
      <c r="J102" t="s">
        <v>624</v>
      </c>
    </row>
    <row r="103" spans="7:10">
      <c r="G103" s="8">
        <v>407</v>
      </c>
      <c r="I103" s="8"/>
      <c r="J103" t="s">
        <v>625</v>
      </c>
    </row>
    <row r="104" spans="7:10">
      <c r="G104" s="8">
        <v>412</v>
      </c>
      <c r="I104" s="8"/>
      <c r="J104" t="s">
        <v>626</v>
      </c>
    </row>
    <row r="105" spans="7:10">
      <c r="G105" s="8">
        <v>420</v>
      </c>
      <c r="I105" s="8"/>
      <c r="J105" t="s">
        <v>627</v>
      </c>
    </row>
    <row r="106" spans="7:10">
      <c r="G106" s="8">
        <v>430</v>
      </c>
      <c r="I106" s="8"/>
      <c r="J106" t="s">
        <v>628</v>
      </c>
    </row>
    <row r="107" spans="7:10">
      <c r="G107" s="8">
        <v>440</v>
      </c>
      <c r="I107" s="8"/>
      <c r="J107" t="s">
        <v>629</v>
      </c>
    </row>
    <row r="108" spans="7:10">
      <c r="G108" s="8">
        <v>456</v>
      </c>
      <c r="I108" s="8"/>
      <c r="J108" t="s">
        <v>630</v>
      </c>
    </row>
    <row r="109" spans="7:10">
      <c r="G109" s="8">
        <v>458</v>
      </c>
      <c r="I109" s="8"/>
      <c r="J109" t="s">
        <v>631</v>
      </c>
    </row>
    <row r="110" spans="7:10">
      <c r="G110" s="8">
        <v>460</v>
      </c>
      <c r="I110" s="8"/>
      <c r="J110" t="s">
        <v>632</v>
      </c>
    </row>
    <row r="111" spans="7:10">
      <c r="G111" s="8">
        <v>480</v>
      </c>
      <c r="I111" s="8"/>
      <c r="J111" t="s">
        <v>633</v>
      </c>
    </row>
    <row r="112" spans="7:10">
      <c r="G112" s="8">
        <v>505</v>
      </c>
      <c r="I112" s="8"/>
      <c r="J112" t="s">
        <v>634</v>
      </c>
    </row>
    <row r="113" spans="7:10">
      <c r="G113" s="8">
        <v>508</v>
      </c>
      <c r="I113" s="8"/>
      <c r="J113" t="s">
        <v>635</v>
      </c>
    </row>
    <row r="114" spans="7:10">
      <c r="G114" s="8">
        <v>512</v>
      </c>
      <c r="I114" s="8"/>
      <c r="J114" t="s">
        <v>636</v>
      </c>
    </row>
    <row r="115" spans="7:10">
      <c r="G115" s="8">
        <v>599</v>
      </c>
      <c r="I115" s="8"/>
      <c r="J115" t="s">
        <v>637</v>
      </c>
    </row>
    <row r="116" spans="7:10">
      <c r="G116" s="8">
        <v>600</v>
      </c>
      <c r="I116" s="8"/>
      <c r="J116" t="s">
        <v>638</v>
      </c>
    </row>
    <row r="117" spans="7:10">
      <c r="G117" s="8">
        <v>604</v>
      </c>
      <c r="I117" s="8"/>
      <c r="J117" t="s">
        <v>639</v>
      </c>
    </row>
    <row r="118" spans="7:10">
      <c r="G118" s="8">
        <v>605</v>
      </c>
      <c r="I118" s="8"/>
      <c r="J118" t="s">
        <v>640</v>
      </c>
    </row>
    <row r="119" spans="7:10">
      <c r="G119" s="8">
        <v>607</v>
      </c>
      <c r="I119" s="8"/>
      <c r="J119" t="s">
        <v>641</v>
      </c>
    </row>
    <row r="120" spans="7:10">
      <c r="G120" s="8">
        <v>612</v>
      </c>
      <c r="I120" s="8"/>
      <c r="J120" t="s">
        <v>642</v>
      </c>
    </row>
    <row r="121" spans="7:10">
      <c r="G121" s="8">
        <v>626</v>
      </c>
      <c r="I121" s="8"/>
      <c r="J121" t="s">
        <v>643</v>
      </c>
    </row>
    <row r="122" spans="7:10">
      <c r="G122" s="8">
        <v>695</v>
      </c>
      <c r="I122" s="8"/>
      <c r="J122" t="s">
        <v>644</v>
      </c>
    </row>
    <row r="123" spans="7:10">
      <c r="G123" s="8">
        <v>740</v>
      </c>
      <c r="I123" s="8"/>
      <c r="J123" t="s">
        <v>645</v>
      </c>
    </row>
    <row r="124" spans="7:10">
      <c r="G124" s="8">
        <v>760</v>
      </c>
      <c r="I124" s="8"/>
      <c r="J124" t="s">
        <v>646</v>
      </c>
    </row>
    <row r="125" spans="7:10">
      <c r="G125" s="8">
        <v>780</v>
      </c>
      <c r="I125" s="8"/>
      <c r="J125" t="s">
        <v>647</v>
      </c>
    </row>
    <row r="126" spans="7:10">
      <c r="G126" s="8">
        <v>800</v>
      </c>
      <c r="I126" s="8"/>
      <c r="J126" t="s">
        <v>648</v>
      </c>
    </row>
    <row r="127" spans="7:10">
      <c r="G127" s="8">
        <v>806</v>
      </c>
      <c r="I127" s="8"/>
      <c r="J127" t="s">
        <v>649</v>
      </c>
    </row>
    <row r="128" spans="7:10">
      <c r="G128" s="8">
        <v>807</v>
      </c>
      <c r="I128" s="8"/>
      <c r="J128" t="s">
        <v>650</v>
      </c>
    </row>
    <row r="129" spans="7:10">
      <c r="G129" s="8">
        <v>850</v>
      </c>
      <c r="I129" s="8"/>
      <c r="J129" t="s">
        <v>651</v>
      </c>
    </row>
    <row r="130" spans="7:10">
      <c r="G130" s="8">
        <v>900</v>
      </c>
      <c r="I130" s="8"/>
      <c r="J130" t="s">
        <v>652</v>
      </c>
    </row>
    <row r="131" spans="7:10">
      <c r="G131" s="8">
        <v>911</v>
      </c>
      <c r="I131" s="8"/>
      <c r="J131" t="s">
        <v>653</v>
      </c>
    </row>
    <row r="132" spans="7:10">
      <c r="G132" s="8">
        <v>918</v>
      </c>
      <c r="I132" s="8"/>
      <c r="J132" t="s">
        <v>654</v>
      </c>
    </row>
    <row r="133" spans="7:10">
      <c r="G133" s="8">
        <v>924</v>
      </c>
      <c r="I133" s="8"/>
      <c r="J133" t="s">
        <v>655</v>
      </c>
    </row>
    <row r="134" spans="7:10">
      <c r="G134" s="8">
        <v>928</v>
      </c>
      <c r="I134" s="8"/>
      <c r="J134" t="s">
        <v>656</v>
      </c>
    </row>
    <row r="135" spans="7:10">
      <c r="G135" s="8">
        <v>929</v>
      </c>
      <c r="I135" s="8"/>
      <c r="J135" t="s">
        <v>657</v>
      </c>
    </row>
    <row r="136" spans="7:10">
      <c r="G136" s="8">
        <v>940</v>
      </c>
      <c r="I136" s="8"/>
      <c r="J136" t="s">
        <v>658</v>
      </c>
    </row>
    <row r="137" spans="7:10">
      <c r="G137" s="8">
        <v>944</v>
      </c>
      <c r="I137" s="8"/>
      <c r="J137" t="s">
        <v>189</v>
      </c>
    </row>
    <row r="138" spans="7:10">
      <c r="G138" s="8">
        <v>960</v>
      </c>
      <c r="I138" s="8"/>
      <c r="J138" t="s">
        <v>659</v>
      </c>
    </row>
    <row r="139" spans="7:10">
      <c r="G139" s="8">
        <v>968</v>
      </c>
      <c r="I139" s="8"/>
      <c r="J139" t="s">
        <v>660</v>
      </c>
    </row>
    <row r="140" spans="7:10">
      <c r="G140" s="8">
        <v>1007</v>
      </c>
      <c r="I140" s="8"/>
      <c r="J140" t="s">
        <v>661</v>
      </c>
    </row>
    <row r="141" spans="7:10">
      <c r="G141" s="8">
        <v>1800</v>
      </c>
      <c r="I141" s="8"/>
      <c r="J141" t="s">
        <v>662</v>
      </c>
    </row>
    <row r="142" spans="7:10">
      <c r="G142" s="8">
        <v>3008</v>
      </c>
      <c r="I142" s="8"/>
      <c r="J142" t="s">
        <v>663</v>
      </c>
    </row>
    <row r="143" spans="7:10">
      <c r="G143" s="8">
        <v>4007</v>
      </c>
      <c r="I143" s="8"/>
      <c r="J143" t="s">
        <v>664</v>
      </c>
    </row>
    <row r="144" spans="7:10">
      <c r="G144" s="8">
        <v>4008</v>
      </c>
      <c r="I144" s="8"/>
      <c r="J144" t="s">
        <v>665</v>
      </c>
    </row>
    <row r="145" spans="7:10">
      <c r="G145" s="8">
        <v>5008</v>
      </c>
      <c r="I145" s="8"/>
      <c r="J145" t="s">
        <v>666</v>
      </c>
    </row>
    <row r="146" spans="7:10">
      <c r="G146" s="8">
        <v>9000</v>
      </c>
      <c r="I146" s="8"/>
      <c r="J146" t="s">
        <v>667</v>
      </c>
    </row>
    <row r="147" spans="7:10">
      <c r="G147" s="8" t="s">
        <v>759</v>
      </c>
      <c r="I147" s="8"/>
      <c r="J147" t="s">
        <v>668</v>
      </c>
    </row>
    <row r="148" spans="7:10">
      <c r="G148" s="8" t="s">
        <v>760</v>
      </c>
      <c r="I148" s="8"/>
      <c r="J148" t="s">
        <v>669</v>
      </c>
    </row>
    <row r="149" spans="7:10">
      <c r="G149" s="8" t="s">
        <v>761</v>
      </c>
      <c r="I149" s="8"/>
      <c r="J149" t="s">
        <v>670</v>
      </c>
    </row>
    <row r="150" spans="7:10">
      <c r="G150" s="8" t="s">
        <v>762</v>
      </c>
      <c r="I150" s="8"/>
      <c r="J150" t="s">
        <v>671</v>
      </c>
    </row>
    <row r="151" spans="7:10">
      <c r="G151" s="8" t="s">
        <v>763</v>
      </c>
      <c r="I151" s="8"/>
      <c r="J151" t="s">
        <v>672</v>
      </c>
    </row>
    <row r="152" spans="7:10">
      <c r="G152" s="8" t="s">
        <v>764</v>
      </c>
      <c r="I152" s="8"/>
      <c r="J152" t="s">
        <v>673</v>
      </c>
    </row>
    <row r="153" spans="7:10">
      <c r="G153" s="8" t="s">
        <v>765</v>
      </c>
      <c r="I153" s="8"/>
      <c r="J153" t="s">
        <v>674</v>
      </c>
    </row>
    <row r="154" spans="7:10">
      <c r="G154" s="8" t="s">
        <v>766</v>
      </c>
      <c r="I154" s="8"/>
      <c r="J154" t="s">
        <v>675</v>
      </c>
    </row>
    <row r="155" spans="7:10">
      <c r="G155" s="8" t="s">
        <v>767</v>
      </c>
      <c r="I155" s="8"/>
      <c r="J155" t="s">
        <v>676</v>
      </c>
    </row>
    <row r="156" spans="7:10">
      <c r="G156" s="8" t="s">
        <v>768</v>
      </c>
      <c r="I156" s="8"/>
      <c r="J156" t="s">
        <v>677</v>
      </c>
    </row>
    <row r="157" spans="7:10">
      <c r="G157" s="8" t="s">
        <v>769</v>
      </c>
      <c r="I157" s="8"/>
      <c r="J157" t="s">
        <v>678</v>
      </c>
    </row>
    <row r="158" spans="7:10">
      <c r="G158" s="8" t="s">
        <v>770</v>
      </c>
      <c r="I158" s="8"/>
      <c r="J158" t="s">
        <v>679</v>
      </c>
    </row>
    <row r="159" spans="7:10">
      <c r="G159" s="8" t="s">
        <v>771</v>
      </c>
      <c r="I159" s="8"/>
      <c r="J159" t="s">
        <v>680</v>
      </c>
    </row>
    <row r="160" spans="7:10">
      <c r="G160" s="8" t="s">
        <v>772</v>
      </c>
      <c r="I160" s="8"/>
      <c r="J160" t="s">
        <v>681</v>
      </c>
    </row>
    <row r="161" spans="7:10">
      <c r="G161" s="8" t="s">
        <v>773</v>
      </c>
      <c r="I161" s="8"/>
      <c r="J161" t="s">
        <v>682</v>
      </c>
    </row>
    <row r="162" spans="7:10">
      <c r="G162" s="8" t="s">
        <v>774</v>
      </c>
      <c r="I162" s="8"/>
      <c r="J162" t="s">
        <v>683</v>
      </c>
    </row>
    <row r="163" spans="7:10">
      <c r="G163" s="8" t="s">
        <v>775</v>
      </c>
      <c r="I163" s="8"/>
      <c r="J163" t="s">
        <v>684</v>
      </c>
    </row>
    <row r="164" spans="7:10">
      <c r="G164" s="8" t="s">
        <v>776</v>
      </c>
      <c r="I164" s="8"/>
      <c r="J164" t="s">
        <v>685</v>
      </c>
    </row>
    <row r="165" spans="7:10">
      <c r="G165" s="8" t="s">
        <v>245</v>
      </c>
      <c r="I165" s="8"/>
      <c r="J165" t="s">
        <v>686</v>
      </c>
    </row>
    <row r="166" spans="7:10">
      <c r="G166" s="8" t="s">
        <v>777</v>
      </c>
      <c r="I166" s="8"/>
      <c r="J166" t="s">
        <v>687</v>
      </c>
    </row>
    <row r="167" spans="7:10">
      <c r="G167" s="8" t="s">
        <v>778</v>
      </c>
      <c r="I167" s="8"/>
      <c r="J167" t="s">
        <v>688</v>
      </c>
    </row>
    <row r="168" spans="7:10">
      <c r="G168" s="8" t="s">
        <v>779</v>
      </c>
      <c r="I168" s="8"/>
      <c r="J168" t="s">
        <v>689</v>
      </c>
    </row>
    <row r="169" spans="7:10">
      <c r="G169" s="8" t="s">
        <v>246</v>
      </c>
      <c r="I169" s="8"/>
      <c r="J169" t="s">
        <v>690</v>
      </c>
    </row>
    <row r="170" spans="7:10">
      <c r="G170" s="8" t="s">
        <v>247</v>
      </c>
      <c r="I170" s="8"/>
      <c r="J170" t="s">
        <v>691</v>
      </c>
    </row>
    <row r="171" spans="7:10">
      <c r="G171" s="8" t="s">
        <v>780</v>
      </c>
      <c r="I171" s="8"/>
      <c r="J171" t="s">
        <v>692</v>
      </c>
    </row>
    <row r="172" spans="7:10">
      <c r="G172" s="8" t="s">
        <v>781</v>
      </c>
      <c r="I172" s="8"/>
      <c r="J172" t="s">
        <v>693</v>
      </c>
    </row>
    <row r="173" spans="7:10">
      <c r="G173" s="8" t="s">
        <v>782</v>
      </c>
      <c r="I173" s="8"/>
      <c r="J173" t="s">
        <v>694</v>
      </c>
    </row>
    <row r="174" spans="7:10">
      <c r="G174" s="8" t="s">
        <v>783</v>
      </c>
      <c r="I174" s="8"/>
      <c r="J174" t="s">
        <v>695</v>
      </c>
    </row>
    <row r="175" spans="7:10">
      <c r="G175" s="8" t="s">
        <v>248</v>
      </c>
      <c r="I175" s="8"/>
      <c r="J175" t="s">
        <v>696</v>
      </c>
    </row>
    <row r="176" spans="7:10">
      <c r="G176" s="8" t="s">
        <v>784</v>
      </c>
      <c r="I176" s="8"/>
      <c r="J176" t="s">
        <v>697</v>
      </c>
    </row>
    <row r="177" spans="7:10">
      <c r="G177" s="8" t="s">
        <v>785</v>
      </c>
      <c r="I177" s="8"/>
      <c r="J177" t="s">
        <v>698</v>
      </c>
    </row>
    <row r="178" spans="7:10">
      <c r="G178" s="8" t="s">
        <v>249</v>
      </c>
      <c r="I178" s="8"/>
      <c r="J178" t="s">
        <v>699</v>
      </c>
    </row>
    <row r="179" spans="7:10">
      <c r="G179" s="8" t="s">
        <v>251</v>
      </c>
      <c r="I179" s="8"/>
      <c r="J179" t="s">
        <v>700</v>
      </c>
    </row>
    <row r="180" spans="7:10">
      <c r="G180" s="8" t="s">
        <v>252</v>
      </c>
      <c r="I180" s="8"/>
      <c r="J180" t="s">
        <v>701</v>
      </c>
    </row>
    <row r="181" spans="7:10">
      <c r="G181" s="8" t="s">
        <v>254</v>
      </c>
      <c r="I181" s="8"/>
      <c r="J181" t="s">
        <v>702</v>
      </c>
    </row>
    <row r="182" spans="7:10">
      <c r="G182" s="8" t="s">
        <v>255</v>
      </c>
      <c r="I182" s="8"/>
      <c r="J182" t="s">
        <v>703</v>
      </c>
    </row>
    <row r="183" spans="7:10">
      <c r="G183" s="8" t="s">
        <v>256</v>
      </c>
      <c r="I183" s="8"/>
      <c r="J183" t="s">
        <v>704</v>
      </c>
    </row>
    <row r="184" spans="7:10">
      <c r="G184" s="8" t="s">
        <v>257</v>
      </c>
      <c r="I184" s="8"/>
      <c r="J184" t="s">
        <v>705</v>
      </c>
    </row>
    <row r="185" spans="7:10">
      <c r="G185" s="8" t="s">
        <v>786</v>
      </c>
      <c r="I185" s="8"/>
      <c r="J185" t="s">
        <v>706</v>
      </c>
    </row>
    <row r="186" spans="7:10">
      <c r="G186" s="8" t="s">
        <v>258</v>
      </c>
      <c r="I186" s="8"/>
      <c r="J186" t="s">
        <v>707</v>
      </c>
    </row>
    <row r="187" spans="7:10">
      <c r="G187" s="8" t="s">
        <v>259</v>
      </c>
      <c r="I187" s="8"/>
      <c r="J187" t="s">
        <v>708</v>
      </c>
    </row>
    <row r="188" spans="7:10">
      <c r="G188" s="8" t="s">
        <v>787</v>
      </c>
      <c r="I188" s="8"/>
      <c r="J188" t="s">
        <v>709</v>
      </c>
    </row>
    <row r="189" spans="7:10">
      <c r="G189" s="8" t="s">
        <v>788</v>
      </c>
      <c r="I189" s="8"/>
      <c r="J189" t="s">
        <v>710</v>
      </c>
    </row>
    <row r="190" spans="7:10">
      <c r="G190" s="8" t="s">
        <v>789</v>
      </c>
      <c r="I190" s="8"/>
      <c r="J190" t="s">
        <v>183</v>
      </c>
    </row>
    <row r="191" spans="7:10">
      <c r="G191" s="8" t="s">
        <v>260</v>
      </c>
      <c r="I191" s="8"/>
      <c r="J191" t="s">
        <v>711</v>
      </c>
    </row>
    <row r="192" spans="7:10">
      <c r="G192" s="8" t="s">
        <v>790</v>
      </c>
      <c r="I192" s="8"/>
      <c r="J192" t="s">
        <v>712</v>
      </c>
    </row>
    <row r="193" spans="7:10">
      <c r="G193" s="8" t="s">
        <v>791</v>
      </c>
      <c r="I193" s="8"/>
      <c r="J193" t="s">
        <v>713</v>
      </c>
    </row>
    <row r="194" spans="7:10">
      <c r="G194" s="8" t="s">
        <v>792</v>
      </c>
      <c r="I194" s="8"/>
      <c r="J194" t="s">
        <v>714</v>
      </c>
    </row>
    <row r="195" spans="7:10">
      <c r="G195" s="8" t="s">
        <v>793</v>
      </c>
      <c r="I195" s="8"/>
      <c r="J195" t="s">
        <v>715</v>
      </c>
    </row>
    <row r="196" spans="7:10">
      <c r="G196" s="8" t="s">
        <v>261</v>
      </c>
      <c r="I196" s="8"/>
      <c r="J196" t="s">
        <v>716</v>
      </c>
    </row>
    <row r="197" spans="7:10">
      <c r="G197" s="8" t="s">
        <v>794</v>
      </c>
      <c r="I197" s="8"/>
      <c r="J197" t="s">
        <v>716</v>
      </c>
    </row>
    <row r="198" spans="7:10">
      <c r="G198" s="8" t="s">
        <v>262</v>
      </c>
      <c r="I198" s="8"/>
      <c r="J198" t="s">
        <v>716</v>
      </c>
    </row>
    <row r="199" spans="7:10">
      <c r="G199" s="8" t="s">
        <v>263</v>
      </c>
      <c r="I199" s="8"/>
      <c r="J199" t="s">
        <v>716</v>
      </c>
    </row>
    <row r="200" spans="7:10">
      <c r="G200" s="8" t="s">
        <v>264</v>
      </c>
      <c r="I200" s="8"/>
      <c r="J200" t="s">
        <v>716</v>
      </c>
    </row>
    <row r="201" spans="7:10">
      <c r="G201" s="8" t="s">
        <v>796</v>
      </c>
      <c r="I201" s="8"/>
      <c r="J201" t="s">
        <v>716</v>
      </c>
    </row>
    <row r="202" spans="7:10">
      <c r="G202" s="8" t="s">
        <v>797</v>
      </c>
      <c r="I202" s="8"/>
      <c r="J202" t="s">
        <v>716</v>
      </c>
    </row>
    <row r="203" spans="7:10">
      <c r="G203" s="8" t="s">
        <v>265</v>
      </c>
      <c r="I203" s="8"/>
      <c r="J203" t="s">
        <v>716</v>
      </c>
    </row>
    <row r="204" spans="7:10">
      <c r="G204" s="8" t="s">
        <v>798</v>
      </c>
      <c r="I204" s="8"/>
      <c r="J204" t="s">
        <v>716</v>
      </c>
    </row>
    <row r="205" spans="7:10">
      <c r="G205" s="8" t="s">
        <v>799</v>
      </c>
      <c r="I205" s="8"/>
      <c r="J205" t="s">
        <v>716</v>
      </c>
    </row>
    <row r="206" spans="7:10">
      <c r="G206" s="8" t="s">
        <v>800</v>
      </c>
      <c r="I206" s="8"/>
      <c r="J206" t="s">
        <v>716</v>
      </c>
    </row>
    <row r="207" spans="7:10">
      <c r="G207" s="8" t="s">
        <v>266</v>
      </c>
      <c r="I207" s="8"/>
      <c r="J207" t="s">
        <v>716</v>
      </c>
    </row>
    <row r="208" spans="7:10">
      <c r="G208" s="8" t="s">
        <v>801</v>
      </c>
      <c r="I208" s="8"/>
      <c r="J208" t="s">
        <v>716</v>
      </c>
    </row>
    <row r="209" spans="7:10">
      <c r="G209" s="8" t="s">
        <v>802</v>
      </c>
      <c r="I209" s="8"/>
      <c r="J209" t="s">
        <v>716</v>
      </c>
    </row>
    <row r="210" spans="7:10">
      <c r="G210" s="8" t="s">
        <v>803</v>
      </c>
      <c r="I210" s="8"/>
      <c r="J210" t="s">
        <v>716</v>
      </c>
    </row>
    <row r="211" spans="7:10">
      <c r="G211" s="8" t="s">
        <v>267</v>
      </c>
      <c r="I211" s="8"/>
      <c r="J211" t="s">
        <v>716</v>
      </c>
    </row>
    <row r="212" spans="7:10">
      <c r="G212" s="8" t="s">
        <v>804</v>
      </c>
      <c r="I212" s="8"/>
      <c r="J212" t="s">
        <v>716</v>
      </c>
    </row>
    <row r="213" spans="7:10">
      <c r="G213" s="8" t="s">
        <v>268</v>
      </c>
      <c r="I213" s="8"/>
      <c r="J213" t="s">
        <v>716</v>
      </c>
    </row>
    <row r="214" spans="7:10">
      <c r="G214" s="8" t="s">
        <v>805</v>
      </c>
      <c r="I214" s="8"/>
      <c r="J214" t="s">
        <v>716</v>
      </c>
    </row>
    <row r="215" spans="7:10">
      <c r="G215" s="8" t="s">
        <v>806</v>
      </c>
      <c r="I215" s="8"/>
      <c r="J215" t="s">
        <v>716</v>
      </c>
    </row>
    <row r="216" spans="7:10">
      <c r="G216" s="8" t="s">
        <v>269</v>
      </c>
      <c r="I216" s="8"/>
      <c r="J216" t="s">
        <v>716</v>
      </c>
    </row>
    <row r="217" spans="7:10">
      <c r="G217" s="8" t="s">
        <v>807</v>
      </c>
      <c r="I217" s="8"/>
      <c r="J217" t="s">
        <v>716</v>
      </c>
    </row>
    <row r="218" spans="7:10">
      <c r="G218" s="8" t="s">
        <v>808</v>
      </c>
      <c r="I218" s="8"/>
      <c r="J218" t="s">
        <v>716</v>
      </c>
    </row>
    <row r="219" spans="7:10">
      <c r="G219" s="8" t="s">
        <v>270</v>
      </c>
      <c r="I219" s="8"/>
      <c r="J219" t="s">
        <v>716</v>
      </c>
    </row>
    <row r="220" spans="7:10">
      <c r="G220" s="8" t="s">
        <v>809</v>
      </c>
      <c r="I220" s="8"/>
      <c r="J220" t="s">
        <v>716</v>
      </c>
    </row>
    <row r="221" spans="7:10">
      <c r="G221" s="8" t="s">
        <v>271</v>
      </c>
      <c r="I221" s="8"/>
      <c r="J221" t="s">
        <v>716</v>
      </c>
    </row>
    <row r="222" spans="7:10">
      <c r="G222" s="8" t="s">
        <v>272</v>
      </c>
      <c r="I222" s="8"/>
      <c r="J222" t="s">
        <v>716</v>
      </c>
    </row>
    <row r="223" spans="7:10">
      <c r="G223" s="8" t="s">
        <v>810</v>
      </c>
      <c r="I223" s="8"/>
      <c r="J223" t="s">
        <v>716</v>
      </c>
    </row>
    <row r="224" spans="7:10">
      <c r="G224" s="8" t="s">
        <v>273</v>
      </c>
      <c r="I224" s="8"/>
      <c r="J224" t="s">
        <v>716</v>
      </c>
    </row>
    <row r="225" spans="7:10">
      <c r="G225" s="8" t="s">
        <v>811</v>
      </c>
      <c r="I225" s="8"/>
      <c r="J225" t="s">
        <v>716</v>
      </c>
    </row>
    <row r="226" spans="7:10">
      <c r="G226" s="8" t="s">
        <v>812</v>
      </c>
      <c r="I226" s="8"/>
      <c r="J226" t="s">
        <v>716</v>
      </c>
    </row>
    <row r="227" spans="7:10">
      <c r="G227" s="8" t="s">
        <v>813</v>
      </c>
      <c r="I227" s="8"/>
      <c r="J227" t="s">
        <v>716</v>
      </c>
    </row>
    <row r="228" spans="7:10">
      <c r="G228" s="8" t="s">
        <v>814</v>
      </c>
      <c r="I228" s="8"/>
      <c r="J228" t="s">
        <v>716</v>
      </c>
    </row>
    <row r="229" spans="7:10">
      <c r="G229" s="8" t="s">
        <v>815</v>
      </c>
      <c r="I229" s="8"/>
      <c r="J229" t="s">
        <v>716</v>
      </c>
    </row>
    <row r="230" spans="7:10">
      <c r="G230" s="8" t="s">
        <v>274</v>
      </c>
      <c r="I230" s="8"/>
      <c r="J230" t="s">
        <v>716</v>
      </c>
    </row>
    <row r="231" spans="7:10">
      <c r="G231" s="8" t="s">
        <v>275</v>
      </c>
      <c r="I231" s="8"/>
      <c r="J231" t="s">
        <v>716</v>
      </c>
    </row>
    <row r="232" spans="7:10">
      <c r="G232" s="8" t="s">
        <v>816</v>
      </c>
      <c r="I232" s="8"/>
      <c r="J232" t="s">
        <v>716</v>
      </c>
    </row>
    <row r="233" spans="7:10">
      <c r="G233" s="8" t="s">
        <v>276</v>
      </c>
      <c r="I233" s="8"/>
      <c r="J233" t="s">
        <v>716</v>
      </c>
    </row>
    <row r="234" spans="7:10">
      <c r="G234" s="8" t="s">
        <v>817</v>
      </c>
      <c r="I234" s="8"/>
      <c r="J234" t="s">
        <v>716</v>
      </c>
    </row>
    <row r="235" spans="7:10">
      <c r="G235" s="8" t="s">
        <v>818</v>
      </c>
      <c r="I235" s="8"/>
      <c r="J235" t="s">
        <v>716</v>
      </c>
    </row>
    <row r="236" spans="7:10">
      <c r="G236" s="8" t="s">
        <v>819</v>
      </c>
      <c r="I236" s="8"/>
      <c r="J236" t="s">
        <v>716</v>
      </c>
    </row>
    <row r="237" spans="7:10">
      <c r="G237" s="8" t="s">
        <v>820</v>
      </c>
      <c r="I237" s="8"/>
      <c r="J237" t="s">
        <v>716</v>
      </c>
    </row>
    <row r="238" spans="7:10">
      <c r="G238" s="8" t="s">
        <v>821</v>
      </c>
      <c r="I238" s="8"/>
      <c r="J238" t="s">
        <v>716</v>
      </c>
    </row>
    <row r="239" spans="7:10">
      <c r="G239" s="8" t="s">
        <v>822</v>
      </c>
      <c r="I239" s="8"/>
      <c r="J239" t="s">
        <v>716</v>
      </c>
    </row>
    <row r="240" spans="7:10">
      <c r="G240" s="8" t="s">
        <v>823</v>
      </c>
      <c r="I240" s="8"/>
      <c r="J240" t="s">
        <v>716</v>
      </c>
    </row>
    <row r="241" spans="7:10">
      <c r="G241" s="8" t="s">
        <v>824</v>
      </c>
      <c r="I241" s="8"/>
      <c r="J241" t="s">
        <v>716</v>
      </c>
    </row>
    <row r="242" spans="7:10">
      <c r="G242" s="8" t="s">
        <v>277</v>
      </c>
      <c r="I242" s="8"/>
      <c r="J242" t="s">
        <v>716</v>
      </c>
    </row>
    <row r="243" spans="7:10">
      <c r="G243" s="8" t="s">
        <v>825</v>
      </c>
      <c r="I243" s="8"/>
      <c r="J243" t="s">
        <v>716</v>
      </c>
    </row>
    <row r="244" spans="7:10">
      <c r="G244" s="8" t="s">
        <v>278</v>
      </c>
      <c r="I244" s="8"/>
      <c r="J244" t="s">
        <v>716</v>
      </c>
    </row>
    <row r="245" spans="7:10">
      <c r="G245" s="8" t="s">
        <v>826</v>
      </c>
      <c r="I245" s="8"/>
      <c r="J245" t="s">
        <v>716</v>
      </c>
    </row>
    <row r="246" spans="7:10">
      <c r="G246" s="8" t="s">
        <v>827</v>
      </c>
      <c r="I246" s="8"/>
      <c r="J246" t="s">
        <v>716</v>
      </c>
    </row>
    <row r="247" spans="7:10">
      <c r="G247" s="8" t="s">
        <v>279</v>
      </c>
      <c r="I247" s="8"/>
      <c r="J247" t="s">
        <v>716</v>
      </c>
    </row>
    <row r="248" spans="7:10">
      <c r="G248" s="8" t="s">
        <v>828</v>
      </c>
      <c r="I248" s="8"/>
      <c r="J248" t="s">
        <v>716</v>
      </c>
    </row>
    <row r="249" spans="7:10">
      <c r="G249" s="8" t="s">
        <v>829</v>
      </c>
      <c r="I249" s="8"/>
      <c r="J249" t="s">
        <v>716</v>
      </c>
    </row>
    <row r="250" spans="7:10">
      <c r="G250" s="8" t="s">
        <v>280</v>
      </c>
      <c r="I250" s="8"/>
      <c r="J250" t="s">
        <v>716</v>
      </c>
    </row>
    <row r="251" spans="7:10">
      <c r="G251" s="8" t="s">
        <v>830</v>
      </c>
      <c r="I251" s="8"/>
      <c r="J251" t="s">
        <v>716</v>
      </c>
    </row>
    <row r="252" spans="7:10">
      <c r="G252" s="8" t="s">
        <v>831</v>
      </c>
      <c r="I252" s="8"/>
      <c r="J252" t="s">
        <v>716</v>
      </c>
    </row>
    <row r="253" spans="7:10">
      <c r="G253" s="8" t="s">
        <v>832</v>
      </c>
      <c r="I253" s="8"/>
      <c r="J253" t="s">
        <v>716</v>
      </c>
    </row>
    <row r="254" spans="7:10">
      <c r="G254" s="8" t="s">
        <v>281</v>
      </c>
      <c r="I254" s="8"/>
      <c r="J254" t="s">
        <v>716</v>
      </c>
    </row>
    <row r="255" spans="7:10">
      <c r="G255" s="8" t="s">
        <v>282</v>
      </c>
      <c r="I255" s="8"/>
      <c r="J255" t="s">
        <v>716</v>
      </c>
    </row>
    <row r="256" spans="7:10">
      <c r="G256" s="8" t="s">
        <v>833</v>
      </c>
      <c r="I256" s="8"/>
      <c r="J256" t="s">
        <v>716</v>
      </c>
    </row>
    <row r="257" spans="7:10">
      <c r="G257" s="8" t="s">
        <v>834</v>
      </c>
      <c r="I257" s="8"/>
      <c r="J257" t="s">
        <v>716</v>
      </c>
    </row>
    <row r="258" spans="7:10">
      <c r="G258" s="8" t="s">
        <v>283</v>
      </c>
      <c r="I258" s="8"/>
      <c r="J258" t="s">
        <v>716</v>
      </c>
    </row>
    <row r="259" spans="7:10">
      <c r="G259" s="8" t="s">
        <v>284</v>
      </c>
      <c r="I259" s="8"/>
      <c r="J259" t="s">
        <v>716</v>
      </c>
    </row>
    <row r="260" spans="7:10">
      <c r="G260" s="8" t="s">
        <v>285</v>
      </c>
      <c r="I260" s="8"/>
      <c r="J260" t="s">
        <v>716</v>
      </c>
    </row>
    <row r="261" spans="7:10">
      <c r="G261" s="8" t="s">
        <v>835</v>
      </c>
      <c r="I261" s="8"/>
      <c r="J261" t="s">
        <v>716</v>
      </c>
    </row>
    <row r="262" spans="7:10">
      <c r="G262" s="8" t="s">
        <v>286</v>
      </c>
      <c r="I262" s="8"/>
      <c r="J262" t="s">
        <v>716</v>
      </c>
    </row>
    <row r="263" spans="7:10">
      <c r="G263" s="8" t="s">
        <v>836</v>
      </c>
      <c r="I263" s="8"/>
      <c r="J263" t="s">
        <v>716</v>
      </c>
    </row>
    <row r="264" spans="7:10">
      <c r="G264" s="8" t="s">
        <v>837</v>
      </c>
      <c r="I264" s="8"/>
      <c r="J264" t="s">
        <v>716</v>
      </c>
    </row>
    <row r="265" spans="7:10">
      <c r="G265" s="8" t="s">
        <v>838</v>
      </c>
      <c r="I265" s="8"/>
      <c r="J265" t="s">
        <v>716</v>
      </c>
    </row>
    <row r="266" spans="7:10">
      <c r="G266" s="8" t="s">
        <v>287</v>
      </c>
      <c r="I266" s="8"/>
      <c r="J266" t="s">
        <v>716</v>
      </c>
    </row>
    <row r="267" spans="7:10">
      <c r="G267" s="8" t="s">
        <v>839</v>
      </c>
      <c r="I267" s="8"/>
      <c r="J267" t="s">
        <v>716</v>
      </c>
    </row>
    <row r="268" spans="7:10">
      <c r="G268" s="8" t="s">
        <v>840</v>
      </c>
      <c r="I268" s="8"/>
      <c r="J268" t="s">
        <v>716</v>
      </c>
    </row>
    <row r="269" spans="7:10">
      <c r="G269" s="8" t="s">
        <v>841</v>
      </c>
      <c r="I269" s="8"/>
      <c r="J269" t="s">
        <v>716</v>
      </c>
    </row>
    <row r="270" spans="7:10">
      <c r="G270" s="8" t="s">
        <v>288</v>
      </c>
      <c r="I270" s="8"/>
      <c r="J270" t="s">
        <v>716</v>
      </c>
    </row>
    <row r="271" spans="7:10">
      <c r="G271" s="8" t="s">
        <v>842</v>
      </c>
      <c r="I271" s="8"/>
      <c r="J271" t="s">
        <v>716</v>
      </c>
    </row>
    <row r="272" spans="7:10">
      <c r="G272" s="8" t="s">
        <v>843</v>
      </c>
      <c r="I272" s="8"/>
      <c r="J272" t="s">
        <v>716</v>
      </c>
    </row>
    <row r="273" spans="7:10">
      <c r="G273" s="8" t="s">
        <v>289</v>
      </c>
      <c r="I273" s="8"/>
      <c r="J273" t="s">
        <v>716</v>
      </c>
    </row>
    <row r="274" spans="7:10">
      <c r="G274" s="8" t="s">
        <v>290</v>
      </c>
      <c r="I274" s="8"/>
      <c r="J274" t="s">
        <v>716</v>
      </c>
    </row>
    <row r="275" spans="7:10">
      <c r="G275" s="8" t="s">
        <v>844</v>
      </c>
      <c r="I275" s="8"/>
      <c r="J275" t="s">
        <v>716</v>
      </c>
    </row>
    <row r="276" spans="7:10">
      <c r="G276" s="8" t="s">
        <v>845</v>
      </c>
      <c r="I276" s="8"/>
      <c r="J276" t="s">
        <v>716</v>
      </c>
    </row>
    <row r="277" spans="7:10">
      <c r="G277" s="8" t="s">
        <v>846</v>
      </c>
      <c r="I277" s="8"/>
      <c r="J277" t="s">
        <v>716</v>
      </c>
    </row>
    <row r="278" spans="7:10">
      <c r="G278" s="8" t="s">
        <v>847</v>
      </c>
      <c r="I278" s="8"/>
      <c r="J278" t="s">
        <v>716</v>
      </c>
    </row>
    <row r="279" spans="7:10">
      <c r="G279" s="8" t="s">
        <v>848</v>
      </c>
      <c r="I279" s="8"/>
      <c r="J279" t="s">
        <v>716</v>
      </c>
    </row>
    <row r="280" spans="7:10">
      <c r="G280" s="8" t="s">
        <v>291</v>
      </c>
      <c r="I280" s="8"/>
      <c r="J280" t="s">
        <v>716</v>
      </c>
    </row>
    <row r="281" spans="7:10">
      <c r="G281" s="8" t="s">
        <v>292</v>
      </c>
      <c r="I281" s="8"/>
      <c r="J281" t="s">
        <v>716</v>
      </c>
    </row>
    <row r="282" spans="7:10">
      <c r="G282" s="8" t="s">
        <v>849</v>
      </c>
      <c r="I282" s="8"/>
      <c r="J282" t="s">
        <v>716</v>
      </c>
    </row>
    <row r="283" spans="7:10">
      <c r="G283" s="8" t="s">
        <v>850</v>
      </c>
      <c r="I283" s="8"/>
      <c r="J283" t="s">
        <v>716</v>
      </c>
    </row>
    <row r="284" spans="7:10">
      <c r="G284" s="8" t="s">
        <v>851</v>
      </c>
      <c r="I284" s="8"/>
      <c r="J284" t="s">
        <v>716</v>
      </c>
    </row>
    <row r="285" spans="7:10">
      <c r="G285" s="8" t="s">
        <v>852</v>
      </c>
      <c r="I285" s="8"/>
      <c r="J285" t="s">
        <v>716</v>
      </c>
    </row>
    <row r="286" spans="7:10">
      <c r="G286" s="8" t="s">
        <v>293</v>
      </c>
      <c r="I286" s="8"/>
      <c r="J286" t="s">
        <v>716</v>
      </c>
    </row>
    <row r="287" spans="7:10">
      <c r="G287" s="8" t="s">
        <v>294</v>
      </c>
      <c r="I287" s="8"/>
      <c r="J287" t="s">
        <v>716</v>
      </c>
    </row>
    <row r="288" spans="7:10">
      <c r="G288" s="8" t="s">
        <v>295</v>
      </c>
      <c r="I288" s="8"/>
      <c r="J288" t="s">
        <v>716</v>
      </c>
    </row>
    <row r="289" spans="7:10">
      <c r="G289" s="8" t="s">
        <v>853</v>
      </c>
      <c r="I289" s="8"/>
      <c r="J289" t="s">
        <v>716</v>
      </c>
    </row>
    <row r="290" spans="7:10">
      <c r="G290" s="8" t="s">
        <v>854</v>
      </c>
      <c r="I290" s="8"/>
      <c r="J290" t="s">
        <v>716</v>
      </c>
    </row>
    <row r="291" spans="7:10">
      <c r="G291" s="8" t="s">
        <v>855</v>
      </c>
      <c r="I291" s="8"/>
      <c r="J291" t="s">
        <v>716</v>
      </c>
    </row>
    <row r="292" spans="7:10">
      <c r="G292" s="8" t="s">
        <v>856</v>
      </c>
      <c r="I292" s="8"/>
      <c r="J292" t="s">
        <v>716</v>
      </c>
    </row>
    <row r="293" spans="7:10">
      <c r="G293" s="8" t="s">
        <v>857</v>
      </c>
      <c r="I293" s="8"/>
      <c r="J293" t="s">
        <v>716</v>
      </c>
    </row>
    <row r="294" spans="7:10">
      <c r="G294" s="8" t="s">
        <v>858</v>
      </c>
      <c r="I294" s="8"/>
      <c r="J294" t="s">
        <v>716</v>
      </c>
    </row>
    <row r="295" spans="7:10">
      <c r="G295" s="8" t="s">
        <v>859</v>
      </c>
      <c r="I295" s="8"/>
      <c r="J295" t="s">
        <v>716</v>
      </c>
    </row>
    <row r="296" spans="7:10">
      <c r="G296" s="8" t="s">
        <v>860</v>
      </c>
      <c r="I296" s="8"/>
      <c r="J296" t="s">
        <v>716</v>
      </c>
    </row>
    <row r="297" spans="7:10">
      <c r="G297" s="8" t="s">
        <v>296</v>
      </c>
      <c r="I297" s="8"/>
      <c r="J297" t="s">
        <v>716</v>
      </c>
    </row>
    <row r="298" spans="7:10">
      <c r="G298" s="8" t="s">
        <v>861</v>
      </c>
      <c r="I298" s="8"/>
      <c r="J298" t="s">
        <v>716</v>
      </c>
    </row>
    <row r="299" spans="7:10">
      <c r="G299" s="8" t="s">
        <v>297</v>
      </c>
      <c r="I299" s="8"/>
      <c r="J299" t="s">
        <v>716</v>
      </c>
    </row>
    <row r="300" spans="7:10">
      <c r="G300" s="8" t="s">
        <v>862</v>
      </c>
      <c r="I300" s="8"/>
      <c r="J300" t="s">
        <v>716</v>
      </c>
    </row>
    <row r="301" spans="7:10">
      <c r="G301" s="8" t="s">
        <v>298</v>
      </c>
      <c r="I301" s="8"/>
      <c r="J301" t="s">
        <v>716</v>
      </c>
    </row>
    <row r="302" spans="7:10">
      <c r="G302" s="8" t="s">
        <v>863</v>
      </c>
      <c r="I302" s="8"/>
      <c r="J302" t="s">
        <v>716</v>
      </c>
    </row>
    <row r="303" spans="7:10">
      <c r="G303" s="8" t="s">
        <v>864</v>
      </c>
      <c r="I303" s="8"/>
      <c r="J303" t="s">
        <v>716</v>
      </c>
    </row>
    <row r="304" spans="7:10">
      <c r="G304" s="8" t="s">
        <v>299</v>
      </c>
      <c r="I304" s="8"/>
      <c r="J304" t="s">
        <v>716</v>
      </c>
    </row>
    <row r="305" spans="7:10">
      <c r="G305" s="8" t="s">
        <v>300</v>
      </c>
      <c r="I305" s="8"/>
      <c r="J305" t="s">
        <v>716</v>
      </c>
    </row>
    <row r="306" spans="7:10">
      <c r="G306" s="8" t="s">
        <v>301</v>
      </c>
      <c r="I306" s="8"/>
      <c r="J306" t="s">
        <v>716</v>
      </c>
    </row>
    <row r="307" spans="7:10">
      <c r="G307" s="8" t="s">
        <v>302</v>
      </c>
      <c r="I307" s="8"/>
      <c r="J307" t="s">
        <v>716</v>
      </c>
    </row>
    <row r="308" spans="7:10">
      <c r="G308" s="8" t="s">
        <v>865</v>
      </c>
      <c r="I308" s="8"/>
      <c r="J308" t="s">
        <v>716</v>
      </c>
    </row>
    <row r="309" spans="7:10">
      <c r="G309" s="8" t="s">
        <v>866</v>
      </c>
      <c r="I309" s="8"/>
      <c r="J309" t="s">
        <v>716</v>
      </c>
    </row>
    <row r="310" spans="7:10">
      <c r="G310" s="8" t="s">
        <v>303</v>
      </c>
      <c r="I310" s="8"/>
      <c r="J310" t="s">
        <v>716</v>
      </c>
    </row>
    <row r="311" spans="7:10">
      <c r="G311" s="8" t="s">
        <v>304</v>
      </c>
      <c r="I311" s="8"/>
      <c r="J311" t="s">
        <v>716</v>
      </c>
    </row>
    <row r="312" spans="7:10">
      <c r="G312" s="8" t="s">
        <v>305</v>
      </c>
      <c r="I312" s="8"/>
      <c r="J312" t="s">
        <v>716</v>
      </c>
    </row>
    <row r="313" spans="7:10">
      <c r="G313" s="8" t="s">
        <v>306</v>
      </c>
      <c r="I313" s="8"/>
      <c r="J313" t="s">
        <v>716</v>
      </c>
    </row>
    <row r="314" spans="7:10">
      <c r="G314" s="8" t="s">
        <v>307</v>
      </c>
      <c r="I314" s="8"/>
      <c r="J314" t="s">
        <v>716</v>
      </c>
    </row>
    <row r="315" spans="7:10">
      <c r="G315" s="8" t="s">
        <v>308</v>
      </c>
      <c r="I315" s="8"/>
      <c r="J315" t="s">
        <v>716</v>
      </c>
    </row>
    <row r="316" spans="7:10">
      <c r="G316" s="8" t="s">
        <v>867</v>
      </c>
      <c r="I316" s="8"/>
      <c r="J316" t="s">
        <v>716</v>
      </c>
    </row>
    <row r="317" spans="7:10">
      <c r="G317" s="8" t="s">
        <v>309</v>
      </c>
      <c r="I317" s="8"/>
      <c r="J317" t="s">
        <v>716</v>
      </c>
    </row>
    <row r="318" spans="7:10">
      <c r="G318" s="8" t="s">
        <v>310</v>
      </c>
      <c r="I318" s="8"/>
      <c r="J318" t="s">
        <v>716</v>
      </c>
    </row>
    <row r="319" spans="7:10">
      <c r="G319" s="8" t="s">
        <v>868</v>
      </c>
      <c r="I319" s="8"/>
      <c r="J319" t="s">
        <v>716</v>
      </c>
    </row>
    <row r="320" spans="7:10">
      <c r="G320" s="8" t="s">
        <v>311</v>
      </c>
      <c r="I320" s="8"/>
      <c r="J320" t="s">
        <v>716</v>
      </c>
    </row>
    <row r="321" spans="7:10">
      <c r="G321" s="8" t="s">
        <v>312</v>
      </c>
      <c r="I321" s="8"/>
      <c r="J321" t="s">
        <v>716</v>
      </c>
    </row>
    <row r="322" spans="7:10">
      <c r="G322" s="8" t="s">
        <v>869</v>
      </c>
      <c r="I322" s="8"/>
      <c r="J322" t="s">
        <v>716</v>
      </c>
    </row>
    <row r="323" spans="7:10">
      <c r="G323" s="8" t="s">
        <v>313</v>
      </c>
      <c r="I323" s="8"/>
      <c r="J323" t="s">
        <v>716</v>
      </c>
    </row>
    <row r="324" spans="7:10">
      <c r="G324" s="8" t="s">
        <v>870</v>
      </c>
      <c r="I324" s="8"/>
      <c r="J324" t="s">
        <v>716</v>
      </c>
    </row>
    <row r="325" spans="7:10">
      <c r="G325" s="8" t="s">
        <v>871</v>
      </c>
      <c r="I325" s="8"/>
      <c r="J325" t="s">
        <v>716</v>
      </c>
    </row>
    <row r="326" spans="7:10">
      <c r="G326" s="8" t="s">
        <v>872</v>
      </c>
      <c r="I326" s="8"/>
      <c r="J326" t="s">
        <v>716</v>
      </c>
    </row>
    <row r="327" spans="7:10">
      <c r="G327" s="8" t="s">
        <v>314</v>
      </c>
      <c r="I327" s="8"/>
      <c r="J327" t="s">
        <v>716</v>
      </c>
    </row>
    <row r="328" spans="7:10">
      <c r="G328" s="8" t="s">
        <v>873</v>
      </c>
      <c r="I328" s="8"/>
      <c r="J328" t="s">
        <v>716</v>
      </c>
    </row>
    <row r="329" spans="7:10">
      <c r="G329" s="8" t="s">
        <v>874</v>
      </c>
      <c r="I329" s="8"/>
      <c r="J329" t="s">
        <v>716</v>
      </c>
    </row>
    <row r="330" spans="7:10">
      <c r="G330" s="8" t="s">
        <v>875</v>
      </c>
      <c r="I330" s="8"/>
      <c r="J330" t="s">
        <v>716</v>
      </c>
    </row>
    <row r="331" spans="7:10">
      <c r="G331" s="8" t="s">
        <v>876</v>
      </c>
      <c r="I331" s="8"/>
      <c r="J331" t="s">
        <v>716</v>
      </c>
    </row>
    <row r="332" spans="7:10">
      <c r="G332" s="8" t="s">
        <v>877</v>
      </c>
      <c r="I332" s="8"/>
      <c r="J332" t="s">
        <v>716</v>
      </c>
    </row>
    <row r="333" spans="7:10">
      <c r="G333" s="8" t="s">
        <v>878</v>
      </c>
      <c r="I333" s="8"/>
      <c r="J333" t="s">
        <v>716</v>
      </c>
    </row>
    <row r="334" spans="7:10">
      <c r="G334" s="8" t="s">
        <v>879</v>
      </c>
      <c r="I334" s="8"/>
      <c r="J334" t="s">
        <v>716</v>
      </c>
    </row>
    <row r="335" spans="7:10">
      <c r="G335" s="8" t="s">
        <v>315</v>
      </c>
      <c r="I335" s="8"/>
      <c r="J335" t="s">
        <v>716</v>
      </c>
    </row>
    <row r="336" spans="7:10">
      <c r="G336" s="8" t="s">
        <v>316</v>
      </c>
      <c r="I336" s="8"/>
      <c r="J336" t="s">
        <v>716</v>
      </c>
    </row>
    <row r="337" spans="7:10">
      <c r="G337" s="8" t="s">
        <v>880</v>
      </c>
      <c r="I337" s="8"/>
      <c r="J337" t="s">
        <v>716</v>
      </c>
    </row>
    <row r="338" spans="7:10">
      <c r="G338" s="8" t="s">
        <v>881</v>
      </c>
      <c r="I338" s="8"/>
      <c r="J338" t="s">
        <v>716</v>
      </c>
    </row>
    <row r="339" spans="7:10">
      <c r="G339" s="8" t="s">
        <v>882</v>
      </c>
      <c r="I339" s="8"/>
      <c r="J339" t="s">
        <v>716</v>
      </c>
    </row>
    <row r="340" spans="7:10">
      <c r="G340" s="8" t="s">
        <v>884</v>
      </c>
      <c r="I340" s="8"/>
      <c r="J340" t="s">
        <v>716</v>
      </c>
    </row>
    <row r="341" spans="7:10">
      <c r="G341" s="8" t="s">
        <v>885</v>
      </c>
      <c r="I341" s="8"/>
      <c r="J341" t="s">
        <v>716</v>
      </c>
    </row>
    <row r="342" spans="7:10">
      <c r="G342" s="8" t="s">
        <v>886</v>
      </c>
      <c r="I342" s="8"/>
      <c r="J342" t="s">
        <v>716</v>
      </c>
    </row>
    <row r="343" spans="7:10">
      <c r="G343" s="8" t="s">
        <v>317</v>
      </c>
      <c r="I343" s="8"/>
      <c r="J343" t="s">
        <v>716</v>
      </c>
    </row>
    <row r="344" spans="7:10">
      <c r="G344" s="8" t="s">
        <v>733</v>
      </c>
      <c r="I344" s="8"/>
      <c r="J344" t="s">
        <v>716</v>
      </c>
    </row>
    <row r="345" spans="7:10">
      <c r="G345" s="8" t="s">
        <v>887</v>
      </c>
      <c r="I345" s="8"/>
      <c r="J345" t="s">
        <v>716</v>
      </c>
    </row>
    <row r="346" spans="7:10">
      <c r="G346" s="8" t="s">
        <v>318</v>
      </c>
      <c r="I346" s="8"/>
      <c r="J346" t="s">
        <v>716</v>
      </c>
    </row>
    <row r="347" spans="7:10">
      <c r="G347" s="8" t="s">
        <v>888</v>
      </c>
      <c r="I347" s="8"/>
      <c r="J347" t="s">
        <v>716</v>
      </c>
    </row>
    <row r="348" spans="7:10">
      <c r="G348" s="8" t="s">
        <v>889</v>
      </c>
      <c r="I348" s="8"/>
      <c r="J348" t="s">
        <v>716</v>
      </c>
    </row>
    <row r="349" spans="7:10">
      <c r="G349" s="8" t="s">
        <v>890</v>
      </c>
      <c r="I349" s="8"/>
      <c r="J349" t="s">
        <v>716</v>
      </c>
    </row>
    <row r="350" spans="7:10">
      <c r="G350" s="8" t="s">
        <v>891</v>
      </c>
      <c r="I350" s="8"/>
      <c r="J350" t="s">
        <v>716</v>
      </c>
    </row>
    <row r="351" spans="7:10">
      <c r="G351" s="8" t="s">
        <v>892</v>
      </c>
      <c r="I351" s="8"/>
      <c r="J351" t="s">
        <v>716</v>
      </c>
    </row>
    <row r="352" spans="7:10">
      <c r="G352" s="8" t="s">
        <v>893</v>
      </c>
      <c r="I352" s="8"/>
      <c r="J352" t="s">
        <v>716</v>
      </c>
    </row>
    <row r="353" spans="7:10">
      <c r="G353" s="8" t="s">
        <v>894</v>
      </c>
      <c r="I353" s="8"/>
      <c r="J353" t="s">
        <v>716</v>
      </c>
    </row>
    <row r="354" spans="7:10">
      <c r="G354" s="8" t="s">
        <v>319</v>
      </c>
      <c r="I354" s="8"/>
      <c r="J354" t="s">
        <v>716</v>
      </c>
    </row>
    <row r="355" spans="7:10">
      <c r="G355" s="8" t="s">
        <v>896</v>
      </c>
      <c r="I355" s="8"/>
      <c r="J355" t="s">
        <v>716</v>
      </c>
    </row>
    <row r="356" spans="7:10">
      <c r="G356" s="8" t="s">
        <v>897</v>
      </c>
      <c r="I356" s="8"/>
      <c r="J356" t="s">
        <v>716</v>
      </c>
    </row>
    <row r="357" spans="7:10">
      <c r="G357" s="8" t="s">
        <v>320</v>
      </c>
      <c r="I357" s="8"/>
      <c r="J357" t="s">
        <v>716</v>
      </c>
    </row>
    <row r="358" spans="7:10">
      <c r="G358" s="8" t="s">
        <v>898</v>
      </c>
      <c r="I358" s="8"/>
      <c r="J358" t="s">
        <v>716</v>
      </c>
    </row>
    <row r="359" spans="7:10">
      <c r="G359" s="8" t="s">
        <v>899</v>
      </c>
      <c r="I359" s="8"/>
      <c r="J359" t="s">
        <v>716</v>
      </c>
    </row>
    <row r="360" spans="7:10">
      <c r="G360" s="8" t="s">
        <v>900</v>
      </c>
      <c r="I360" s="8"/>
      <c r="J360" t="s">
        <v>716</v>
      </c>
    </row>
    <row r="361" spans="7:10">
      <c r="G361" s="8" t="s">
        <v>901</v>
      </c>
      <c r="I361" s="8"/>
      <c r="J361" t="s">
        <v>716</v>
      </c>
    </row>
    <row r="362" spans="7:10">
      <c r="G362" s="8" t="s">
        <v>902</v>
      </c>
      <c r="I362" s="8"/>
      <c r="J362" t="s">
        <v>716</v>
      </c>
    </row>
    <row r="363" spans="7:10">
      <c r="G363" s="8" t="s">
        <v>903</v>
      </c>
      <c r="I363" s="8"/>
      <c r="J363" t="s">
        <v>716</v>
      </c>
    </row>
    <row r="364" spans="7:10">
      <c r="G364" s="8" t="s">
        <v>904</v>
      </c>
      <c r="I364" s="8"/>
      <c r="J364" t="s">
        <v>716</v>
      </c>
    </row>
    <row r="365" spans="7:10">
      <c r="G365" s="8" t="s">
        <v>905</v>
      </c>
      <c r="I365" s="8"/>
      <c r="J365" t="s">
        <v>716</v>
      </c>
    </row>
    <row r="366" spans="7:10">
      <c r="G366" s="8" t="s">
        <v>209</v>
      </c>
      <c r="I366" s="8"/>
      <c r="J366" t="s">
        <v>716</v>
      </c>
    </row>
    <row r="367" spans="7:10">
      <c r="G367" s="8" t="s">
        <v>906</v>
      </c>
      <c r="I367" s="8"/>
      <c r="J367" t="s">
        <v>716</v>
      </c>
    </row>
    <row r="368" spans="7:10">
      <c r="G368" s="8" t="s">
        <v>907</v>
      </c>
      <c r="I368" s="8"/>
      <c r="J368" t="s">
        <v>716</v>
      </c>
    </row>
    <row r="369" spans="7:10">
      <c r="G369" s="8" t="s">
        <v>321</v>
      </c>
      <c r="I369" s="8"/>
      <c r="J369" t="s">
        <v>716</v>
      </c>
    </row>
    <row r="370" spans="7:10">
      <c r="G370" s="8" t="s">
        <v>908</v>
      </c>
      <c r="I370" s="8"/>
      <c r="J370" t="s">
        <v>716</v>
      </c>
    </row>
    <row r="371" spans="7:10">
      <c r="G371" s="8" t="s">
        <v>909</v>
      </c>
      <c r="I371" s="8"/>
      <c r="J371" t="s">
        <v>716</v>
      </c>
    </row>
    <row r="372" spans="7:10">
      <c r="G372" s="8" t="s">
        <v>322</v>
      </c>
      <c r="I372" s="8"/>
      <c r="J372" t="s">
        <v>716</v>
      </c>
    </row>
    <row r="373" spans="7:10">
      <c r="G373" s="8" t="s">
        <v>323</v>
      </c>
      <c r="I373" s="8"/>
      <c r="J373" t="s">
        <v>716</v>
      </c>
    </row>
    <row r="374" spans="7:10">
      <c r="G374" s="8" t="s">
        <v>910</v>
      </c>
      <c r="I374" s="8"/>
      <c r="J374" t="s">
        <v>716</v>
      </c>
    </row>
    <row r="375" spans="7:10">
      <c r="G375" s="8" t="s">
        <v>911</v>
      </c>
      <c r="I375" s="8"/>
      <c r="J375" t="s">
        <v>716</v>
      </c>
    </row>
    <row r="376" spans="7:10">
      <c r="G376" s="8" t="s">
        <v>912</v>
      </c>
      <c r="I376" s="8"/>
      <c r="J376" t="s">
        <v>716</v>
      </c>
    </row>
    <row r="377" spans="7:10">
      <c r="G377" s="8" t="s">
        <v>324</v>
      </c>
      <c r="I377" s="8"/>
      <c r="J377" t="s">
        <v>716</v>
      </c>
    </row>
    <row r="378" spans="7:10">
      <c r="G378" s="8" t="s">
        <v>913</v>
      </c>
      <c r="I378" s="8"/>
      <c r="J378" t="s">
        <v>716</v>
      </c>
    </row>
    <row r="379" spans="7:10">
      <c r="G379" s="8" t="s">
        <v>914</v>
      </c>
      <c r="I379" s="8"/>
      <c r="J379" t="s">
        <v>716</v>
      </c>
    </row>
    <row r="380" spans="7:10">
      <c r="G380" s="8" t="s">
        <v>915</v>
      </c>
      <c r="I380" s="8"/>
      <c r="J380" t="s">
        <v>716</v>
      </c>
    </row>
    <row r="381" spans="7:10">
      <c r="G381" s="8" t="s">
        <v>916</v>
      </c>
      <c r="I381" s="8"/>
      <c r="J381" t="s">
        <v>716</v>
      </c>
    </row>
    <row r="382" spans="7:10">
      <c r="G382" s="8" t="s">
        <v>917</v>
      </c>
      <c r="I382" s="8"/>
      <c r="J382" t="s">
        <v>716</v>
      </c>
    </row>
    <row r="383" spans="7:10">
      <c r="G383" s="8" t="s">
        <v>918</v>
      </c>
      <c r="I383" s="8"/>
      <c r="J383" t="s">
        <v>716</v>
      </c>
    </row>
    <row r="384" spans="7:10">
      <c r="G384" s="8" t="s">
        <v>919</v>
      </c>
      <c r="I384" s="8"/>
      <c r="J384" t="s">
        <v>716</v>
      </c>
    </row>
    <row r="385" spans="7:10">
      <c r="G385" s="8" t="s">
        <v>920</v>
      </c>
      <c r="I385" s="8"/>
      <c r="J385" t="s">
        <v>716</v>
      </c>
    </row>
    <row r="386" spans="7:10">
      <c r="G386" s="8" t="s">
        <v>325</v>
      </c>
      <c r="I386" s="8"/>
      <c r="J386" t="s">
        <v>716</v>
      </c>
    </row>
    <row r="387" spans="7:10">
      <c r="G387" s="8" t="s">
        <v>921</v>
      </c>
      <c r="I387" s="8"/>
      <c r="J387" t="s">
        <v>716</v>
      </c>
    </row>
    <row r="388" spans="7:10">
      <c r="G388" s="8" t="s">
        <v>922</v>
      </c>
      <c r="I388" s="8"/>
      <c r="J388" t="s">
        <v>716</v>
      </c>
    </row>
    <row r="389" spans="7:10">
      <c r="G389" s="8" t="s">
        <v>923</v>
      </c>
      <c r="I389" s="8"/>
      <c r="J389" t="s">
        <v>716</v>
      </c>
    </row>
    <row r="390" spans="7:10">
      <c r="G390" s="8" t="s">
        <v>924</v>
      </c>
      <c r="I390" s="8"/>
      <c r="J390" t="s">
        <v>716</v>
      </c>
    </row>
    <row r="391" spans="7:10">
      <c r="G391" s="8" t="s">
        <v>925</v>
      </c>
      <c r="I391" s="8"/>
      <c r="J391" t="s">
        <v>716</v>
      </c>
    </row>
    <row r="392" spans="7:10">
      <c r="G392" s="8" t="s">
        <v>926</v>
      </c>
      <c r="I392" s="8"/>
      <c r="J392" t="s">
        <v>716</v>
      </c>
    </row>
    <row r="393" spans="7:10">
      <c r="G393" s="8" t="s">
        <v>927</v>
      </c>
      <c r="I393" s="8"/>
    </row>
    <row r="394" spans="7:10">
      <c r="G394" s="8" t="s">
        <v>928</v>
      </c>
    </row>
    <row r="395" spans="7:10">
      <c r="G395" s="8" t="s">
        <v>327</v>
      </c>
    </row>
    <row r="396" spans="7:10">
      <c r="G396" s="8" t="s">
        <v>929</v>
      </c>
    </row>
    <row r="397" spans="7:10">
      <c r="G397" s="8" t="s">
        <v>930</v>
      </c>
    </row>
    <row r="398" spans="7:10">
      <c r="G398" s="8" t="s">
        <v>931</v>
      </c>
    </row>
    <row r="399" spans="7:10">
      <c r="G399" s="8" t="s">
        <v>328</v>
      </c>
    </row>
    <row r="400" spans="7:10">
      <c r="G400" s="8" t="s">
        <v>329</v>
      </c>
    </row>
    <row r="401" spans="7:7">
      <c r="G401" s="8" t="s">
        <v>932</v>
      </c>
    </row>
    <row r="402" spans="7:7">
      <c r="G402" s="8" t="s">
        <v>933</v>
      </c>
    </row>
    <row r="403" spans="7:7">
      <c r="G403" s="8" t="s">
        <v>934</v>
      </c>
    </row>
    <row r="404" spans="7:7">
      <c r="G404" s="8" t="s">
        <v>935</v>
      </c>
    </row>
    <row r="405" spans="7:7">
      <c r="G405" s="8" t="s">
        <v>936</v>
      </c>
    </row>
    <row r="406" spans="7:7">
      <c r="G406" s="8" t="s">
        <v>937</v>
      </c>
    </row>
    <row r="407" spans="7:7">
      <c r="G407" s="8" t="s">
        <v>938</v>
      </c>
    </row>
    <row r="408" spans="7:7">
      <c r="G408" s="8" t="s">
        <v>939</v>
      </c>
    </row>
    <row r="409" spans="7:7">
      <c r="G409" s="8" t="s">
        <v>940</v>
      </c>
    </row>
    <row r="410" spans="7:7">
      <c r="G410" s="8" t="s">
        <v>941</v>
      </c>
    </row>
    <row r="411" spans="7:7">
      <c r="G411" s="8" t="s">
        <v>942</v>
      </c>
    </row>
    <row r="412" spans="7:7">
      <c r="G412" s="8" t="s">
        <v>943</v>
      </c>
    </row>
    <row r="413" spans="7:7">
      <c r="G413" s="8" t="s">
        <v>944</v>
      </c>
    </row>
    <row r="414" spans="7:7">
      <c r="G414" s="8" t="s">
        <v>945</v>
      </c>
    </row>
    <row r="415" spans="7:7">
      <c r="G415" s="8" t="s">
        <v>330</v>
      </c>
    </row>
    <row r="416" spans="7:7">
      <c r="G416" s="8" t="s">
        <v>946</v>
      </c>
    </row>
    <row r="417" spans="7:7">
      <c r="G417" s="8" t="s">
        <v>947</v>
      </c>
    </row>
    <row r="418" spans="7:7">
      <c r="G418" s="8" t="s">
        <v>948</v>
      </c>
    </row>
    <row r="419" spans="7:7">
      <c r="G419" s="8" t="s">
        <v>949</v>
      </c>
    </row>
    <row r="420" spans="7:7">
      <c r="G420" s="8" t="s">
        <v>331</v>
      </c>
    </row>
    <row r="421" spans="7:7">
      <c r="G421" s="8" t="s">
        <v>332</v>
      </c>
    </row>
    <row r="422" spans="7:7">
      <c r="G422" s="8" t="s">
        <v>333</v>
      </c>
    </row>
    <row r="423" spans="7:7">
      <c r="G423" s="8" t="s">
        <v>950</v>
      </c>
    </row>
    <row r="424" spans="7:7">
      <c r="G424" s="8" t="s">
        <v>334</v>
      </c>
    </row>
    <row r="425" spans="7:7">
      <c r="G425" s="8" t="s">
        <v>335</v>
      </c>
    </row>
    <row r="426" spans="7:7">
      <c r="G426" s="8" t="s">
        <v>951</v>
      </c>
    </row>
    <row r="427" spans="7:7">
      <c r="G427" s="8" t="s">
        <v>336</v>
      </c>
    </row>
    <row r="428" spans="7:7">
      <c r="G428" s="8" t="s">
        <v>337</v>
      </c>
    </row>
    <row r="429" spans="7:7">
      <c r="G429" s="8" t="s">
        <v>952</v>
      </c>
    </row>
    <row r="430" spans="7:7">
      <c r="G430" s="8" t="s">
        <v>338</v>
      </c>
    </row>
    <row r="431" spans="7:7">
      <c r="G431" s="8" t="s">
        <v>953</v>
      </c>
    </row>
    <row r="432" spans="7:7">
      <c r="G432" s="8" t="s">
        <v>954</v>
      </c>
    </row>
    <row r="433" spans="7:7">
      <c r="G433" s="8" t="s">
        <v>339</v>
      </c>
    </row>
    <row r="434" spans="7:7">
      <c r="G434" s="8" t="s">
        <v>340</v>
      </c>
    </row>
    <row r="435" spans="7:7">
      <c r="G435" s="8" t="s">
        <v>955</v>
      </c>
    </row>
    <row r="436" spans="7:7">
      <c r="G436" s="8" t="s">
        <v>956</v>
      </c>
    </row>
    <row r="437" spans="7:7">
      <c r="G437" s="8" t="s">
        <v>957</v>
      </c>
    </row>
    <row r="438" spans="7:7">
      <c r="G438" s="8" t="s">
        <v>958</v>
      </c>
    </row>
    <row r="439" spans="7:7">
      <c r="G439" s="8" t="s">
        <v>959</v>
      </c>
    </row>
    <row r="440" spans="7:7">
      <c r="G440" s="8" t="s">
        <v>960</v>
      </c>
    </row>
    <row r="441" spans="7:7">
      <c r="G441" s="8" t="s">
        <v>961</v>
      </c>
    </row>
    <row r="442" spans="7:7">
      <c r="G442" s="8" t="s">
        <v>962</v>
      </c>
    </row>
    <row r="443" spans="7:7">
      <c r="G443" s="8" t="s">
        <v>341</v>
      </c>
    </row>
    <row r="444" spans="7:7">
      <c r="G444" s="8" t="s">
        <v>963</v>
      </c>
    </row>
    <row r="445" spans="7:7">
      <c r="G445" s="8" t="s">
        <v>342</v>
      </c>
    </row>
    <row r="446" spans="7:7">
      <c r="G446" s="8" t="s">
        <v>964</v>
      </c>
    </row>
    <row r="447" spans="7:7">
      <c r="G447" s="8" t="s">
        <v>343</v>
      </c>
    </row>
    <row r="448" spans="7:7">
      <c r="G448" s="8" t="s">
        <v>344</v>
      </c>
    </row>
    <row r="449" spans="7:7">
      <c r="G449" s="8" t="s">
        <v>965</v>
      </c>
    </row>
    <row r="450" spans="7:7">
      <c r="G450" s="8" t="s">
        <v>966</v>
      </c>
    </row>
    <row r="451" spans="7:7">
      <c r="G451" s="8" t="s">
        <v>345</v>
      </c>
    </row>
    <row r="452" spans="7:7">
      <c r="G452" s="8" t="s">
        <v>967</v>
      </c>
    </row>
    <row r="453" spans="7:7">
      <c r="G453" s="8" t="s">
        <v>594</v>
      </c>
    </row>
    <row r="454" spans="7:7">
      <c r="G454" s="8" t="s">
        <v>346</v>
      </c>
    </row>
    <row r="455" spans="7:7">
      <c r="G455" s="8" t="s">
        <v>347</v>
      </c>
    </row>
    <row r="456" spans="7:7">
      <c r="G456" s="8" t="s">
        <v>348</v>
      </c>
    </row>
    <row r="457" spans="7:7">
      <c r="G457" s="8" t="s">
        <v>968</v>
      </c>
    </row>
    <row r="458" spans="7:7">
      <c r="G458" s="8" t="s">
        <v>969</v>
      </c>
    </row>
    <row r="459" spans="7:7">
      <c r="G459" s="8" t="s">
        <v>349</v>
      </c>
    </row>
    <row r="460" spans="7:7">
      <c r="G460" s="8" t="s">
        <v>970</v>
      </c>
    </row>
    <row r="461" spans="7:7">
      <c r="G461" s="8" t="s">
        <v>971</v>
      </c>
    </row>
    <row r="462" spans="7:7">
      <c r="G462" s="8" t="s">
        <v>972</v>
      </c>
    </row>
    <row r="463" spans="7:7">
      <c r="G463" s="8" t="s">
        <v>350</v>
      </c>
    </row>
    <row r="464" spans="7:7">
      <c r="G464" s="8" t="s">
        <v>973</v>
      </c>
    </row>
    <row r="465" spans="7:7">
      <c r="G465" s="8" t="s">
        <v>974</v>
      </c>
    </row>
    <row r="466" spans="7:7">
      <c r="G466" s="8" t="s">
        <v>975</v>
      </c>
    </row>
    <row r="467" spans="7:7">
      <c r="G467" s="8" t="s">
        <v>976</v>
      </c>
    </row>
    <row r="468" spans="7:7">
      <c r="G468" s="8" t="s">
        <v>977</v>
      </c>
    </row>
    <row r="469" spans="7:7">
      <c r="G469" s="8" t="s">
        <v>978</v>
      </c>
    </row>
    <row r="470" spans="7:7">
      <c r="G470" s="8" t="s">
        <v>351</v>
      </c>
    </row>
    <row r="471" spans="7:7">
      <c r="G471" s="8" t="s">
        <v>352</v>
      </c>
    </row>
    <row r="472" spans="7:7">
      <c r="G472" s="8" t="s">
        <v>979</v>
      </c>
    </row>
    <row r="473" spans="7:7">
      <c r="G473" s="8" t="s">
        <v>980</v>
      </c>
    </row>
    <row r="474" spans="7:7">
      <c r="G474" s="8" t="s">
        <v>981</v>
      </c>
    </row>
    <row r="475" spans="7:7">
      <c r="G475" s="8" t="s">
        <v>982</v>
      </c>
    </row>
    <row r="476" spans="7:7">
      <c r="G476" s="8" t="s">
        <v>983</v>
      </c>
    </row>
    <row r="477" spans="7:7">
      <c r="G477" s="8" t="s">
        <v>984</v>
      </c>
    </row>
    <row r="478" spans="7:7">
      <c r="G478" s="8" t="s">
        <v>353</v>
      </c>
    </row>
    <row r="479" spans="7:7">
      <c r="G479" s="8" t="s">
        <v>985</v>
      </c>
    </row>
    <row r="480" spans="7:7">
      <c r="G480" s="8" t="s">
        <v>986</v>
      </c>
    </row>
    <row r="481" spans="7:7">
      <c r="G481" s="8" t="s">
        <v>987</v>
      </c>
    </row>
    <row r="482" spans="7:7">
      <c r="G482" s="8" t="s">
        <v>988</v>
      </c>
    </row>
    <row r="483" spans="7:7">
      <c r="G483" s="8" t="s">
        <v>989</v>
      </c>
    </row>
    <row r="484" spans="7:7">
      <c r="G484" s="8" t="s">
        <v>990</v>
      </c>
    </row>
    <row r="485" spans="7:7">
      <c r="G485" s="8" t="s">
        <v>991</v>
      </c>
    </row>
    <row r="486" spans="7:7">
      <c r="G486" s="8" t="s">
        <v>354</v>
      </c>
    </row>
    <row r="487" spans="7:7">
      <c r="G487" s="8" t="s">
        <v>992</v>
      </c>
    </row>
    <row r="488" spans="7:7">
      <c r="G488" s="8" t="s">
        <v>993</v>
      </c>
    </row>
    <row r="489" spans="7:7">
      <c r="G489" s="8" t="s">
        <v>355</v>
      </c>
    </row>
    <row r="490" spans="7:7">
      <c r="G490" s="8" t="s">
        <v>356</v>
      </c>
    </row>
    <row r="491" spans="7:7">
      <c r="G491" s="8" t="s">
        <v>357</v>
      </c>
    </row>
    <row r="492" spans="7:7">
      <c r="G492" s="8" t="s">
        <v>358</v>
      </c>
    </row>
    <row r="493" spans="7:7">
      <c r="G493" s="8" t="s">
        <v>994</v>
      </c>
    </row>
    <row r="494" spans="7:7">
      <c r="G494" s="8" t="s">
        <v>359</v>
      </c>
    </row>
    <row r="495" spans="7:7">
      <c r="G495" s="8" t="s">
        <v>995</v>
      </c>
    </row>
    <row r="496" spans="7:7">
      <c r="G496" s="8" t="s">
        <v>996</v>
      </c>
    </row>
    <row r="497" spans="7:7">
      <c r="G497" s="8" t="s">
        <v>997</v>
      </c>
    </row>
    <row r="498" spans="7:7">
      <c r="G498" s="8" t="s">
        <v>998</v>
      </c>
    </row>
    <row r="499" spans="7:7">
      <c r="G499" s="8" t="s">
        <v>999</v>
      </c>
    </row>
    <row r="500" spans="7:7">
      <c r="G500" s="8" t="s">
        <v>1000</v>
      </c>
    </row>
    <row r="501" spans="7:7">
      <c r="G501" s="8" t="s">
        <v>1001</v>
      </c>
    </row>
    <row r="502" spans="7:7">
      <c r="G502" s="8" t="s">
        <v>1002</v>
      </c>
    </row>
    <row r="503" spans="7:7">
      <c r="G503" s="8" t="s">
        <v>360</v>
      </c>
    </row>
    <row r="504" spans="7:7">
      <c r="G504" s="8" t="s">
        <v>361</v>
      </c>
    </row>
    <row r="505" spans="7:7">
      <c r="G505" s="8" t="s">
        <v>1003</v>
      </c>
    </row>
    <row r="506" spans="7:7">
      <c r="G506" s="8" t="s">
        <v>362</v>
      </c>
    </row>
    <row r="507" spans="7:7">
      <c r="G507" s="8" t="s">
        <v>1004</v>
      </c>
    </row>
    <row r="508" spans="7:7">
      <c r="G508" s="8" t="s">
        <v>1005</v>
      </c>
    </row>
    <row r="509" spans="7:7">
      <c r="G509" s="8" t="s">
        <v>1006</v>
      </c>
    </row>
    <row r="510" spans="7:7">
      <c r="G510" s="8" t="s">
        <v>1007</v>
      </c>
    </row>
    <row r="511" spans="7:7">
      <c r="G511" s="8" t="s">
        <v>363</v>
      </c>
    </row>
    <row r="512" spans="7:7">
      <c r="G512" s="8" t="s">
        <v>364</v>
      </c>
    </row>
    <row r="513" spans="7:7">
      <c r="G513" s="8" t="s">
        <v>1008</v>
      </c>
    </row>
    <row r="514" spans="7:7">
      <c r="G514" s="8" t="s">
        <v>1009</v>
      </c>
    </row>
    <row r="515" spans="7:7">
      <c r="G515" s="8" t="s">
        <v>365</v>
      </c>
    </row>
    <row r="516" spans="7:7">
      <c r="G516" s="8" t="s">
        <v>366</v>
      </c>
    </row>
    <row r="517" spans="7:7">
      <c r="G517" s="8" t="s">
        <v>1010</v>
      </c>
    </row>
    <row r="518" spans="7:7">
      <c r="G518" s="8" t="s">
        <v>1011</v>
      </c>
    </row>
    <row r="519" spans="7:7">
      <c r="G519" s="8" t="s">
        <v>368</v>
      </c>
    </row>
    <row r="520" spans="7:7">
      <c r="G520" s="8" t="s">
        <v>1012</v>
      </c>
    </row>
    <row r="521" spans="7:7">
      <c r="G521" s="8" t="s">
        <v>1013</v>
      </c>
    </row>
    <row r="522" spans="7:7">
      <c r="G522" s="8" t="s">
        <v>1014</v>
      </c>
    </row>
    <row r="523" spans="7:7">
      <c r="G523" s="8" t="s">
        <v>1015</v>
      </c>
    </row>
    <row r="524" spans="7:7">
      <c r="G524" s="8" t="s">
        <v>1016</v>
      </c>
    </row>
    <row r="525" spans="7:7">
      <c r="G525" s="8" t="s">
        <v>1017</v>
      </c>
    </row>
    <row r="526" spans="7:7">
      <c r="G526" s="8" t="s">
        <v>1018</v>
      </c>
    </row>
    <row r="527" spans="7:7">
      <c r="G527" s="8" t="s">
        <v>369</v>
      </c>
    </row>
    <row r="528" spans="7:7">
      <c r="G528" s="8" t="s">
        <v>1019</v>
      </c>
    </row>
    <row r="529" spans="7:7">
      <c r="G529" s="8" t="s">
        <v>1020</v>
      </c>
    </row>
    <row r="530" spans="7:7">
      <c r="G530" s="8" t="s">
        <v>1021</v>
      </c>
    </row>
    <row r="531" spans="7:7">
      <c r="G531" s="8" t="s">
        <v>1022</v>
      </c>
    </row>
    <row r="532" spans="7:7">
      <c r="G532" s="8" t="s">
        <v>370</v>
      </c>
    </row>
    <row r="533" spans="7:7">
      <c r="G533" s="8" t="s">
        <v>1023</v>
      </c>
    </row>
    <row r="534" spans="7:7">
      <c r="G534" s="8" t="s">
        <v>371</v>
      </c>
    </row>
    <row r="535" spans="7:7">
      <c r="G535" s="8" t="s">
        <v>1024</v>
      </c>
    </row>
    <row r="536" spans="7:7">
      <c r="G536" s="8" t="s">
        <v>372</v>
      </c>
    </row>
    <row r="537" spans="7:7">
      <c r="G537" s="8" t="s">
        <v>373</v>
      </c>
    </row>
    <row r="538" spans="7:7">
      <c r="G538" s="8" t="s">
        <v>1025</v>
      </c>
    </row>
    <row r="539" spans="7:7">
      <c r="G539" s="8" t="s">
        <v>374</v>
      </c>
    </row>
    <row r="540" spans="7:7">
      <c r="G540" s="8" t="s">
        <v>1026</v>
      </c>
    </row>
    <row r="541" spans="7:7">
      <c r="G541" s="8" t="s">
        <v>375</v>
      </c>
    </row>
    <row r="542" spans="7:7">
      <c r="G542" s="8" t="s">
        <v>1027</v>
      </c>
    </row>
    <row r="543" spans="7:7">
      <c r="G543" s="8" t="s">
        <v>376</v>
      </c>
    </row>
    <row r="544" spans="7:7">
      <c r="G544" s="8" t="s">
        <v>1028</v>
      </c>
    </row>
    <row r="545" spans="7:7">
      <c r="G545" s="8" t="s">
        <v>1029</v>
      </c>
    </row>
    <row r="546" spans="7:7">
      <c r="G546" s="8" t="s">
        <v>378</v>
      </c>
    </row>
    <row r="547" spans="7:7">
      <c r="G547" s="8" t="s">
        <v>1030</v>
      </c>
    </row>
    <row r="548" spans="7:7">
      <c r="G548" s="8" t="s">
        <v>1031</v>
      </c>
    </row>
    <row r="549" spans="7:7">
      <c r="G549" s="8" t="s">
        <v>1032</v>
      </c>
    </row>
    <row r="550" spans="7:7">
      <c r="G550" s="8" t="s">
        <v>1033</v>
      </c>
    </row>
    <row r="551" spans="7:7">
      <c r="G551" s="8" t="s">
        <v>379</v>
      </c>
    </row>
    <row r="552" spans="7:7">
      <c r="G552" s="8" t="s">
        <v>1034</v>
      </c>
    </row>
    <row r="553" spans="7:7">
      <c r="G553" s="8" t="s">
        <v>380</v>
      </c>
    </row>
    <row r="554" spans="7:7">
      <c r="G554" s="8" t="s">
        <v>1035</v>
      </c>
    </row>
    <row r="555" spans="7:7">
      <c r="G555" s="8" t="s">
        <v>1036</v>
      </c>
    </row>
    <row r="556" spans="7:7">
      <c r="G556" s="8" t="s">
        <v>1037</v>
      </c>
    </row>
    <row r="557" spans="7:7">
      <c r="G557" s="8" t="s">
        <v>1038</v>
      </c>
    </row>
    <row r="558" spans="7:7">
      <c r="G558" s="8" t="s">
        <v>1039</v>
      </c>
    </row>
    <row r="559" spans="7:7">
      <c r="G559" s="8" t="s">
        <v>1040</v>
      </c>
    </row>
    <row r="560" spans="7:7">
      <c r="G560" s="8" t="s">
        <v>1041</v>
      </c>
    </row>
    <row r="561" spans="7:7">
      <c r="G561" s="8" t="s">
        <v>381</v>
      </c>
    </row>
    <row r="562" spans="7:7">
      <c r="G562" s="8" t="s">
        <v>382</v>
      </c>
    </row>
    <row r="563" spans="7:7">
      <c r="G563" s="8" t="s">
        <v>1042</v>
      </c>
    </row>
    <row r="564" spans="7:7">
      <c r="G564" s="8" t="s">
        <v>383</v>
      </c>
    </row>
    <row r="565" spans="7:7">
      <c r="G565" s="8" t="s">
        <v>1043</v>
      </c>
    </row>
    <row r="566" spans="7:7">
      <c r="G566" s="8" t="s">
        <v>1044</v>
      </c>
    </row>
    <row r="567" spans="7:7">
      <c r="G567" s="8" t="s">
        <v>1045</v>
      </c>
    </row>
    <row r="568" spans="7:7">
      <c r="G568" s="8" t="s">
        <v>1046</v>
      </c>
    </row>
    <row r="569" spans="7:7">
      <c r="G569" s="8" t="s">
        <v>1047</v>
      </c>
    </row>
    <row r="570" spans="7:7">
      <c r="G570" s="8" t="s">
        <v>1048</v>
      </c>
    </row>
    <row r="571" spans="7:7">
      <c r="G571" s="8" t="s">
        <v>1049</v>
      </c>
    </row>
    <row r="572" spans="7:7">
      <c r="G572" s="8" t="s">
        <v>1050</v>
      </c>
    </row>
    <row r="573" spans="7:7">
      <c r="G573" s="8" t="s">
        <v>1051</v>
      </c>
    </row>
    <row r="574" spans="7:7">
      <c r="G574" s="8" t="s">
        <v>1052</v>
      </c>
    </row>
    <row r="575" spans="7:7">
      <c r="G575" s="8" t="s">
        <v>1053</v>
      </c>
    </row>
    <row r="576" spans="7:7">
      <c r="G576" s="8" t="s">
        <v>1054</v>
      </c>
    </row>
    <row r="577" spans="7:7">
      <c r="G577" s="8" t="s">
        <v>1055</v>
      </c>
    </row>
    <row r="578" spans="7:7">
      <c r="G578" s="8" t="s">
        <v>1056</v>
      </c>
    </row>
    <row r="579" spans="7:7">
      <c r="G579" s="8" t="s">
        <v>1057</v>
      </c>
    </row>
    <row r="580" spans="7:7">
      <c r="G580" s="8" t="s">
        <v>1058</v>
      </c>
    </row>
    <row r="581" spans="7:7">
      <c r="G581" s="8" t="s">
        <v>1059</v>
      </c>
    </row>
    <row r="582" spans="7:7">
      <c r="G582" s="8" t="s">
        <v>1060</v>
      </c>
    </row>
    <row r="583" spans="7:7">
      <c r="G583" s="8" t="s">
        <v>1061</v>
      </c>
    </row>
    <row r="584" spans="7:7">
      <c r="G584" s="8" t="s">
        <v>1062</v>
      </c>
    </row>
    <row r="585" spans="7:7">
      <c r="G585" s="8" t="s">
        <v>1063</v>
      </c>
    </row>
    <row r="586" spans="7:7">
      <c r="G586" s="8" t="s">
        <v>1064</v>
      </c>
    </row>
    <row r="587" spans="7:7">
      <c r="G587" s="8" t="s">
        <v>1065</v>
      </c>
    </row>
    <row r="588" spans="7:7">
      <c r="G588" s="8" t="s">
        <v>1066</v>
      </c>
    </row>
    <row r="589" spans="7:7">
      <c r="G589" s="8" t="s">
        <v>1067</v>
      </c>
    </row>
    <row r="590" spans="7:7">
      <c r="G590" s="8" t="s">
        <v>1068</v>
      </c>
    </row>
    <row r="591" spans="7:7">
      <c r="G591" s="8" t="s">
        <v>1069</v>
      </c>
    </row>
    <row r="592" spans="7:7">
      <c r="G592" s="8" t="s">
        <v>748</v>
      </c>
    </row>
    <row r="593" spans="7:7">
      <c r="G593" s="8" t="s">
        <v>384</v>
      </c>
    </row>
    <row r="594" spans="7:7">
      <c r="G594" s="8" t="s">
        <v>385</v>
      </c>
    </row>
    <row r="595" spans="7:7">
      <c r="G595" s="8" t="s">
        <v>386</v>
      </c>
    </row>
    <row r="596" spans="7:7">
      <c r="G596" s="8" t="s">
        <v>387</v>
      </c>
    </row>
    <row r="597" spans="7:7">
      <c r="G597" s="8" t="s">
        <v>1070</v>
      </c>
    </row>
    <row r="598" spans="7:7">
      <c r="G598" s="8" t="s">
        <v>388</v>
      </c>
    </row>
    <row r="599" spans="7:7">
      <c r="G599" s="8" t="s">
        <v>1071</v>
      </c>
    </row>
    <row r="600" spans="7:7">
      <c r="G600" s="8" t="s">
        <v>1072</v>
      </c>
    </row>
    <row r="601" spans="7:7">
      <c r="G601" s="8" t="s">
        <v>389</v>
      </c>
    </row>
    <row r="602" spans="7:7">
      <c r="G602" s="8" t="s">
        <v>390</v>
      </c>
    </row>
    <row r="603" spans="7:7">
      <c r="G603" s="8" t="s">
        <v>226</v>
      </c>
    </row>
    <row r="604" spans="7:7">
      <c r="G604" s="8" t="s">
        <v>1073</v>
      </c>
    </row>
    <row r="605" spans="7:7">
      <c r="G605" s="8" t="s">
        <v>1074</v>
      </c>
    </row>
    <row r="606" spans="7:7">
      <c r="G606" s="8" t="s">
        <v>391</v>
      </c>
    </row>
    <row r="607" spans="7:7">
      <c r="G607" s="8" t="s">
        <v>1075</v>
      </c>
    </row>
    <row r="608" spans="7:7">
      <c r="G608" s="8" t="s">
        <v>392</v>
      </c>
    </row>
    <row r="609" spans="7:7">
      <c r="G609" s="8" t="s">
        <v>393</v>
      </c>
    </row>
    <row r="610" spans="7:7">
      <c r="G610" s="8" t="s">
        <v>1076</v>
      </c>
    </row>
    <row r="611" spans="7:7">
      <c r="G611" s="8" t="s">
        <v>1077</v>
      </c>
    </row>
    <row r="612" spans="7:7">
      <c r="G612" s="8" t="s">
        <v>1078</v>
      </c>
    </row>
    <row r="613" spans="7:7">
      <c r="G613" s="8" t="s">
        <v>1079</v>
      </c>
    </row>
    <row r="614" spans="7:7">
      <c r="G614" s="8" t="s">
        <v>1080</v>
      </c>
    </row>
    <row r="615" spans="7:7">
      <c r="G615" s="8" t="s">
        <v>1081</v>
      </c>
    </row>
    <row r="616" spans="7:7">
      <c r="G616" s="8" t="s">
        <v>1082</v>
      </c>
    </row>
    <row r="617" spans="7:7">
      <c r="G617" s="8" t="s">
        <v>1083</v>
      </c>
    </row>
    <row r="618" spans="7:7">
      <c r="G618" s="8" t="s">
        <v>1084</v>
      </c>
    </row>
    <row r="619" spans="7:7">
      <c r="G619" s="8" t="s">
        <v>395</v>
      </c>
    </row>
    <row r="620" spans="7:7">
      <c r="G620" s="8" t="s">
        <v>1085</v>
      </c>
    </row>
    <row r="621" spans="7:7">
      <c r="G621" s="8" t="s">
        <v>396</v>
      </c>
    </row>
    <row r="622" spans="7:7">
      <c r="G622" s="8" t="s">
        <v>397</v>
      </c>
    </row>
    <row r="623" spans="7:7">
      <c r="G623" s="8" t="s">
        <v>1086</v>
      </c>
    </row>
    <row r="624" spans="7:7">
      <c r="G624" s="8" t="s">
        <v>1087</v>
      </c>
    </row>
    <row r="625" spans="7:7">
      <c r="G625" s="8" t="s">
        <v>1088</v>
      </c>
    </row>
    <row r="626" spans="7:7">
      <c r="G626" s="8" t="s">
        <v>1089</v>
      </c>
    </row>
    <row r="627" spans="7:7">
      <c r="G627" s="8" t="s">
        <v>1090</v>
      </c>
    </row>
    <row r="628" spans="7:7">
      <c r="G628" s="8" t="s">
        <v>1091</v>
      </c>
    </row>
    <row r="629" spans="7:7">
      <c r="G629" s="8" t="s">
        <v>398</v>
      </c>
    </row>
    <row r="630" spans="7:7">
      <c r="G630" s="8" t="s">
        <v>399</v>
      </c>
    </row>
    <row r="631" spans="7:7">
      <c r="G631" s="8" t="s">
        <v>1092</v>
      </c>
    </row>
    <row r="632" spans="7:7">
      <c r="G632" s="8" t="s">
        <v>1093</v>
      </c>
    </row>
    <row r="633" spans="7:7">
      <c r="G633" s="8" t="s">
        <v>1094</v>
      </c>
    </row>
    <row r="634" spans="7:7">
      <c r="G634" s="8" t="s">
        <v>1095</v>
      </c>
    </row>
    <row r="635" spans="7:7">
      <c r="G635" s="8" t="s">
        <v>1096</v>
      </c>
    </row>
    <row r="636" spans="7:7">
      <c r="G636" s="8" t="s">
        <v>1097</v>
      </c>
    </row>
    <row r="637" spans="7:7">
      <c r="G637" s="8" t="s">
        <v>1098</v>
      </c>
    </row>
    <row r="638" spans="7:7">
      <c r="G638" s="8" t="s">
        <v>400</v>
      </c>
    </row>
    <row r="639" spans="7:7">
      <c r="G639" s="8" t="s">
        <v>1099</v>
      </c>
    </row>
    <row r="640" spans="7:7">
      <c r="G640" s="8" t="s">
        <v>1100</v>
      </c>
    </row>
    <row r="641" spans="7:7">
      <c r="G641" s="8" t="s">
        <v>1101</v>
      </c>
    </row>
    <row r="642" spans="7:7">
      <c r="G642" s="8" t="s">
        <v>1102</v>
      </c>
    </row>
    <row r="643" spans="7:7">
      <c r="G643" s="8" t="s">
        <v>401</v>
      </c>
    </row>
    <row r="644" spans="7:7">
      <c r="G644" s="8" t="s">
        <v>1103</v>
      </c>
    </row>
    <row r="645" spans="7:7">
      <c r="G645" s="8" t="s">
        <v>1104</v>
      </c>
    </row>
    <row r="646" spans="7:7">
      <c r="G646" s="8" t="s">
        <v>1105</v>
      </c>
    </row>
    <row r="647" spans="7:7">
      <c r="G647" s="8" t="s">
        <v>402</v>
      </c>
    </row>
    <row r="648" spans="7:7">
      <c r="G648" s="8" t="s">
        <v>1106</v>
      </c>
    </row>
    <row r="649" spans="7:7">
      <c r="G649" s="8" t="s">
        <v>403</v>
      </c>
    </row>
    <row r="650" spans="7:7">
      <c r="G650" s="8" t="s">
        <v>404</v>
      </c>
    </row>
    <row r="651" spans="7:7">
      <c r="G651" s="8" t="s">
        <v>405</v>
      </c>
    </row>
    <row r="652" spans="7:7">
      <c r="G652" s="8" t="s">
        <v>406</v>
      </c>
    </row>
    <row r="653" spans="7:7">
      <c r="G653" s="8" t="s">
        <v>1107</v>
      </c>
    </row>
    <row r="654" spans="7:7">
      <c r="G654" s="8" t="s">
        <v>407</v>
      </c>
    </row>
    <row r="655" spans="7:7">
      <c r="G655" s="8" t="s">
        <v>408</v>
      </c>
    </row>
    <row r="656" spans="7:7">
      <c r="G656" s="8" t="s">
        <v>1108</v>
      </c>
    </row>
    <row r="657" spans="7:7">
      <c r="G657" s="8" t="s">
        <v>1109</v>
      </c>
    </row>
    <row r="658" spans="7:7">
      <c r="G658" s="8" t="s">
        <v>409</v>
      </c>
    </row>
    <row r="659" spans="7:7">
      <c r="G659" s="8" t="s">
        <v>1110</v>
      </c>
    </row>
    <row r="660" spans="7:7">
      <c r="G660" s="8" t="s">
        <v>1111</v>
      </c>
    </row>
    <row r="661" spans="7:7">
      <c r="G661" s="8" t="s">
        <v>410</v>
      </c>
    </row>
    <row r="662" spans="7:7">
      <c r="G662" s="8" t="s">
        <v>1112</v>
      </c>
    </row>
    <row r="663" spans="7:7">
      <c r="G663" s="8" t="s">
        <v>1113</v>
      </c>
    </row>
    <row r="664" spans="7:7">
      <c r="G664" s="8" t="s">
        <v>1114</v>
      </c>
    </row>
    <row r="665" spans="7:7">
      <c r="G665" s="8" t="s">
        <v>1115</v>
      </c>
    </row>
    <row r="666" spans="7:7">
      <c r="G666" s="8" t="s">
        <v>412</v>
      </c>
    </row>
    <row r="667" spans="7:7">
      <c r="G667" s="8" t="s">
        <v>413</v>
      </c>
    </row>
    <row r="668" spans="7:7">
      <c r="G668" s="8" t="s">
        <v>1116</v>
      </c>
    </row>
    <row r="669" spans="7:7">
      <c r="G669" s="8" t="s">
        <v>1117</v>
      </c>
    </row>
    <row r="670" spans="7:7">
      <c r="G670" s="8" t="s">
        <v>1118</v>
      </c>
    </row>
    <row r="671" spans="7:7">
      <c r="G671" s="8" t="s">
        <v>1119</v>
      </c>
    </row>
    <row r="672" spans="7:7">
      <c r="G672" s="8" t="s">
        <v>1120</v>
      </c>
    </row>
    <row r="673" spans="7:7">
      <c r="G673" s="8" t="s">
        <v>1121</v>
      </c>
    </row>
    <row r="674" spans="7:7">
      <c r="G674" s="8" t="s">
        <v>415</v>
      </c>
    </row>
    <row r="675" spans="7:7">
      <c r="G675" s="8" t="s">
        <v>416</v>
      </c>
    </row>
    <row r="676" spans="7:7">
      <c r="G676" s="8" t="s">
        <v>417</v>
      </c>
    </row>
    <row r="677" spans="7:7">
      <c r="G677" s="8" t="s">
        <v>1122</v>
      </c>
    </row>
    <row r="678" spans="7:7">
      <c r="G678" s="8" t="s">
        <v>1123</v>
      </c>
    </row>
    <row r="679" spans="7:7">
      <c r="G679" s="8" t="s">
        <v>1124</v>
      </c>
    </row>
    <row r="680" spans="7:7">
      <c r="G680" s="8" t="s">
        <v>1125</v>
      </c>
    </row>
    <row r="681" spans="7:7">
      <c r="G681" s="8" t="s">
        <v>1126</v>
      </c>
    </row>
    <row r="682" spans="7:7">
      <c r="G682" s="8" t="s">
        <v>1127</v>
      </c>
    </row>
    <row r="683" spans="7:7">
      <c r="G683" s="8" t="s">
        <v>1128</v>
      </c>
    </row>
    <row r="684" spans="7:7">
      <c r="G684" s="8" t="s">
        <v>418</v>
      </c>
    </row>
    <row r="685" spans="7:7">
      <c r="G685" s="8" t="s">
        <v>1129</v>
      </c>
    </row>
    <row r="686" spans="7:7">
      <c r="G686" s="8" t="s">
        <v>419</v>
      </c>
    </row>
    <row r="687" spans="7:7">
      <c r="G687" s="8" t="s">
        <v>1130</v>
      </c>
    </row>
    <row r="688" spans="7:7">
      <c r="G688" s="8" t="s">
        <v>1131</v>
      </c>
    </row>
    <row r="689" spans="7:7">
      <c r="G689" s="8" t="s">
        <v>1132</v>
      </c>
    </row>
    <row r="690" spans="7:7">
      <c r="G690" s="8" t="s">
        <v>1133</v>
      </c>
    </row>
    <row r="691" spans="7:7">
      <c r="G691" s="8" t="s">
        <v>420</v>
      </c>
    </row>
    <row r="692" spans="7:7">
      <c r="G692" s="8" t="s">
        <v>1134</v>
      </c>
    </row>
    <row r="693" spans="7:7">
      <c r="G693" s="8" t="s">
        <v>1135</v>
      </c>
    </row>
    <row r="694" spans="7:7">
      <c r="G694" s="8" t="s">
        <v>421</v>
      </c>
    </row>
    <row r="695" spans="7:7">
      <c r="G695" s="8" t="s">
        <v>422</v>
      </c>
    </row>
    <row r="696" spans="7:7">
      <c r="G696" s="8" t="s">
        <v>423</v>
      </c>
    </row>
    <row r="697" spans="7:7">
      <c r="G697" s="8" t="s">
        <v>424</v>
      </c>
    </row>
    <row r="698" spans="7:7">
      <c r="G698" s="8" t="s">
        <v>1136</v>
      </c>
    </row>
    <row r="699" spans="7:7">
      <c r="G699" s="8" t="s">
        <v>425</v>
      </c>
    </row>
    <row r="700" spans="7:7">
      <c r="G700" s="8" t="s">
        <v>426</v>
      </c>
    </row>
    <row r="701" spans="7:7">
      <c r="G701" s="8" t="s">
        <v>1137</v>
      </c>
    </row>
    <row r="702" spans="7:7">
      <c r="G702" s="8" t="s">
        <v>1138</v>
      </c>
    </row>
    <row r="703" spans="7:7">
      <c r="G703" s="8" t="s">
        <v>1139</v>
      </c>
    </row>
    <row r="704" spans="7:7">
      <c r="G704" s="8" t="s">
        <v>1140</v>
      </c>
    </row>
    <row r="705" spans="7:7">
      <c r="G705" s="8" t="s">
        <v>1141</v>
      </c>
    </row>
    <row r="706" spans="7:7">
      <c r="G706" s="8" t="s">
        <v>1142</v>
      </c>
    </row>
    <row r="707" spans="7:7">
      <c r="G707" s="8" t="s">
        <v>1143</v>
      </c>
    </row>
    <row r="708" spans="7:7">
      <c r="G708" s="8" t="s">
        <v>1144</v>
      </c>
    </row>
    <row r="709" spans="7:7">
      <c r="G709" s="8" t="s">
        <v>427</v>
      </c>
    </row>
    <row r="710" spans="7:7">
      <c r="G710" s="8" t="s">
        <v>1145</v>
      </c>
    </row>
    <row r="711" spans="7:7">
      <c r="G711" s="8" t="s">
        <v>428</v>
      </c>
    </row>
    <row r="712" spans="7:7">
      <c r="G712" s="8" t="s">
        <v>429</v>
      </c>
    </row>
    <row r="713" spans="7:7">
      <c r="G713" s="8" t="s">
        <v>430</v>
      </c>
    </row>
    <row r="714" spans="7:7">
      <c r="G714" s="8" t="s">
        <v>1146</v>
      </c>
    </row>
    <row r="715" spans="7:7">
      <c r="G715" s="8" t="s">
        <v>431</v>
      </c>
    </row>
    <row r="716" spans="7:7">
      <c r="G716" s="8" t="s">
        <v>432</v>
      </c>
    </row>
    <row r="717" spans="7:7">
      <c r="G717" s="8" t="s">
        <v>433</v>
      </c>
    </row>
    <row r="718" spans="7:7">
      <c r="G718" s="8" t="s">
        <v>434</v>
      </c>
    </row>
    <row r="719" spans="7:7">
      <c r="G719" s="8" t="s">
        <v>1147</v>
      </c>
    </row>
    <row r="720" spans="7:7">
      <c r="G720" s="8" t="s">
        <v>1148</v>
      </c>
    </row>
    <row r="721" spans="7:7">
      <c r="G721" s="8" t="s">
        <v>435</v>
      </c>
    </row>
    <row r="722" spans="7:7">
      <c r="G722" s="8" t="s">
        <v>1149</v>
      </c>
    </row>
    <row r="723" spans="7:7">
      <c r="G723" s="8" t="s">
        <v>436</v>
      </c>
    </row>
    <row r="724" spans="7:7">
      <c r="G724" s="8" t="s">
        <v>1150</v>
      </c>
    </row>
    <row r="725" spans="7:7">
      <c r="G725" s="8" t="s">
        <v>437</v>
      </c>
    </row>
    <row r="726" spans="7:7">
      <c r="G726" s="8" t="s">
        <v>1151</v>
      </c>
    </row>
    <row r="727" spans="7:7">
      <c r="G727" s="8" t="s">
        <v>1152</v>
      </c>
    </row>
    <row r="728" spans="7:7">
      <c r="G728" s="8" t="s">
        <v>1153</v>
      </c>
    </row>
    <row r="729" spans="7:7">
      <c r="G729" s="8" t="s">
        <v>438</v>
      </c>
    </row>
    <row r="730" spans="7:7">
      <c r="G730" s="8" t="s">
        <v>1154</v>
      </c>
    </row>
    <row r="731" spans="7:7">
      <c r="G731" s="8" t="s">
        <v>439</v>
      </c>
    </row>
    <row r="732" spans="7:7">
      <c r="G732" s="8" t="s">
        <v>1155</v>
      </c>
    </row>
    <row r="733" spans="7:7">
      <c r="G733" s="8" t="s">
        <v>440</v>
      </c>
    </row>
    <row r="734" spans="7:7">
      <c r="G734" s="8" t="s">
        <v>441</v>
      </c>
    </row>
    <row r="735" spans="7:7">
      <c r="G735" s="8" t="s">
        <v>442</v>
      </c>
    </row>
    <row r="736" spans="7:7">
      <c r="G736" s="8" t="s">
        <v>443</v>
      </c>
    </row>
    <row r="737" spans="7:7">
      <c r="G737" s="8" t="s">
        <v>444</v>
      </c>
    </row>
    <row r="738" spans="7:7">
      <c r="G738" s="8" t="s">
        <v>1156</v>
      </c>
    </row>
    <row r="739" spans="7:7">
      <c r="G739" s="8" t="s">
        <v>1157</v>
      </c>
    </row>
    <row r="740" spans="7:7">
      <c r="G740" s="8" t="s">
        <v>1158</v>
      </c>
    </row>
    <row r="741" spans="7:7">
      <c r="G741" s="8" t="s">
        <v>1159</v>
      </c>
    </row>
    <row r="742" spans="7:7">
      <c r="G742" s="8" t="s">
        <v>1160</v>
      </c>
    </row>
    <row r="743" spans="7:7">
      <c r="G743" s="8" t="s">
        <v>1161</v>
      </c>
    </row>
    <row r="744" spans="7:7">
      <c r="G744" s="8" t="s">
        <v>1162</v>
      </c>
    </row>
    <row r="745" spans="7:7">
      <c r="G745" s="8" t="s">
        <v>1163</v>
      </c>
    </row>
    <row r="746" spans="7:7">
      <c r="G746" s="8" t="s">
        <v>445</v>
      </c>
    </row>
    <row r="747" spans="7:7">
      <c r="G747" s="8" t="s">
        <v>446</v>
      </c>
    </row>
    <row r="748" spans="7:7">
      <c r="G748" s="8" t="s">
        <v>1164</v>
      </c>
    </row>
    <row r="749" spans="7:7">
      <c r="G749" s="8" t="s">
        <v>447</v>
      </c>
    </row>
    <row r="750" spans="7:7">
      <c r="G750" s="8" t="s">
        <v>448</v>
      </c>
    </row>
    <row r="751" spans="7:7">
      <c r="G751" s="8" t="s">
        <v>449</v>
      </c>
    </row>
    <row r="752" spans="7:7">
      <c r="G752" s="8" t="s">
        <v>450</v>
      </c>
    </row>
    <row r="753" spans="7:7">
      <c r="G753" s="8" t="s">
        <v>1165</v>
      </c>
    </row>
    <row r="754" spans="7:7">
      <c r="G754" s="8" t="s">
        <v>451</v>
      </c>
    </row>
    <row r="755" spans="7:7">
      <c r="G755" s="8" t="s">
        <v>452</v>
      </c>
    </row>
    <row r="756" spans="7:7">
      <c r="G756" s="8" t="s">
        <v>1166</v>
      </c>
    </row>
    <row r="757" spans="7:7">
      <c r="G757" s="8" t="s">
        <v>1167</v>
      </c>
    </row>
    <row r="758" spans="7:7">
      <c r="G758" s="8" t="s">
        <v>1168</v>
      </c>
    </row>
    <row r="759" spans="7:7">
      <c r="G759" s="8" t="s">
        <v>1169</v>
      </c>
    </row>
    <row r="760" spans="7:7">
      <c r="G760" s="8" t="s">
        <v>1170</v>
      </c>
    </row>
    <row r="761" spans="7:7">
      <c r="G761" s="8" t="s">
        <v>1171</v>
      </c>
    </row>
    <row r="762" spans="7:7">
      <c r="G762" s="8" t="s">
        <v>1172</v>
      </c>
    </row>
    <row r="763" spans="7:7">
      <c r="G763" s="8" t="s">
        <v>453</v>
      </c>
    </row>
    <row r="764" spans="7:7">
      <c r="G764" s="8" t="s">
        <v>1173</v>
      </c>
    </row>
    <row r="765" spans="7:7">
      <c r="G765" s="8" t="s">
        <v>754</v>
      </c>
    </row>
    <row r="766" spans="7:7">
      <c r="G766" s="8" t="s">
        <v>1174</v>
      </c>
    </row>
    <row r="767" spans="7:7">
      <c r="G767" s="8" t="s">
        <v>1175</v>
      </c>
    </row>
    <row r="768" spans="7:7">
      <c r="G768" s="8" t="s">
        <v>1176</v>
      </c>
    </row>
    <row r="769" spans="7:7">
      <c r="G769" s="8" t="s">
        <v>1177</v>
      </c>
    </row>
    <row r="770" spans="7:7">
      <c r="G770" s="8" t="s">
        <v>1178</v>
      </c>
    </row>
    <row r="771" spans="7:7">
      <c r="G771" s="8" t="s">
        <v>455</v>
      </c>
    </row>
    <row r="772" spans="7:7">
      <c r="G772" s="8" t="s">
        <v>1179</v>
      </c>
    </row>
    <row r="773" spans="7:7">
      <c r="G773" s="8" t="s">
        <v>1180</v>
      </c>
    </row>
    <row r="774" spans="7:7">
      <c r="G774" s="8" t="s">
        <v>456</v>
      </c>
    </row>
    <row r="775" spans="7:7">
      <c r="G775" s="8" t="s">
        <v>1181</v>
      </c>
    </row>
    <row r="776" spans="7:7">
      <c r="G776" s="8" t="s">
        <v>1182</v>
      </c>
    </row>
    <row r="777" spans="7:7">
      <c r="G777" s="8" t="s">
        <v>1183</v>
      </c>
    </row>
    <row r="778" spans="7:7">
      <c r="G778" s="8" t="s">
        <v>1184</v>
      </c>
    </row>
    <row r="779" spans="7:7">
      <c r="G779" s="8" t="s">
        <v>1185</v>
      </c>
    </row>
    <row r="780" spans="7:7">
      <c r="G780" s="8" t="s">
        <v>1186</v>
      </c>
    </row>
    <row r="781" spans="7:7">
      <c r="G781" s="8" t="s">
        <v>1187</v>
      </c>
    </row>
    <row r="782" spans="7:7">
      <c r="G782" s="8" t="s">
        <v>1188</v>
      </c>
    </row>
    <row r="783" spans="7:7">
      <c r="G783" s="8" t="s">
        <v>1189</v>
      </c>
    </row>
    <row r="784" spans="7:7">
      <c r="G784" s="8" t="s">
        <v>457</v>
      </c>
    </row>
    <row r="785" spans="7:7">
      <c r="G785" s="8" t="s">
        <v>1190</v>
      </c>
    </row>
    <row r="786" spans="7:7">
      <c r="G786" s="8" t="s">
        <v>458</v>
      </c>
    </row>
    <row r="787" spans="7:7">
      <c r="G787" s="8" t="s">
        <v>459</v>
      </c>
    </row>
    <row r="788" spans="7:7">
      <c r="G788" s="8" t="s">
        <v>460</v>
      </c>
    </row>
    <row r="789" spans="7:7">
      <c r="G789" s="8" t="s">
        <v>461</v>
      </c>
    </row>
    <row r="790" spans="7:7">
      <c r="G790" s="8" t="s">
        <v>1191</v>
      </c>
    </row>
    <row r="791" spans="7:7">
      <c r="G791" s="8" t="s">
        <v>1192</v>
      </c>
    </row>
    <row r="792" spans="7:7">
      <c r="G792" s="8" t="s">
        <v>1193</v>
      </c>
    </row>
    <row r="793" spans="7:7">
      <c r="G793" s="8" t="s">
        <v>462</v>
      </c>
    </row>
    <row r="794" spans="7:7">
      <c r="G794" s="8" t="s">
        <v>1194</v>
      </c>
    </row>
    <row r="795" spans="7:7">
      <c r="G795" s="8" t="s">
        <v>1195</v>
      </c>
    </row>
    <row r="796" spans="7:7">
      <c r="G796" s="8" t="s">
        <v>1196</v>
      </c>
    </row>
    <row r="797" spans="7:7">
      <c r="G797" s="8" t="s">
        <v>463</v>
      </c>
    </row>
    <row r="798" spans="7:7">
      <c r="G798" s="8" t="s">
        <v>1197</v>
      </c>
    </row>
    <row r="799" spans="7:7">
      <c r="G799" s="8" t="s">
        <v>1198</v>
      </c>
    </row>
    <row r="800" spans="7:7">
      <c r="G800" s="8" t="s">
        <v>1199</v>
      </c>
    </row>
    <row r="801" spans="7:7">
      <c r="G801" s="8" t="s">
        <v>1200</v>
      </c>
    </row>
    <row r="802" spans="7:7">
      <c r="G802" s="8" t="s">
        <v>1201</v>
      </c>
    </row>
    <row r="803" spans="7:7">
      <c r="G803" s="8" t="s">
        <v>1202</v>
      </c>
    </row>
    <row r="804" spans="7:7">
      <c r="G804" s="8" t="s">
        <v>1203</v>
      </c>
    </row>
    <row r="805" spans="7:7">
      <c r="G805" s="8" t="s">
        <v>1204</v>
      </c>
    </row>
    <row r="806" spans="7:7">
      <c r="G806" s="8" t="s">
        <v>1205</v>
      </c>
    </row>
    <row r="807" spans="7:7">
      <c r="G807" s="8" t="s">
        <v>1206</v>
      </c>
    </row>
    <row r="808" spans="7:7">
      <c r="G808" s="8" t="s">
        <v>1207</v>
      </c>
    </row>
    <row r="809" spans="7:7">
      <c r="G809" s="8" t="s">
        <v>1208</v>
      </c>
    </row>
    <row r="810" spans="7:7">
      <c r="G810" s="8" t="s">
        <v>464</v>
      </c>
    </row>
    <row r="811" spans="7:7">
      <c r="G811" s="8" t="s">
        <v>237</v>
      </c>
    </row>
    <row r="812" spans="7:7">
      <c r="G812" s="8" t="s">
        <v>1209</v>
      </c>
    </row>
    <row r="813" spans="7:7">
      <c r="G813" s="8" t="s">
        <v>1210</v>
      </c>
    </row>
    <row r="814" spans="7:7">
      <c r="G814" s="8" t="s">
        <v>1211</v>
      </c>
    </row>
    <row r="815" spans="7:7">
      <c r="G815" s="8" t="s">
        <v>1212</v>
      </c>
    </row>
    <row r="816" spans="7:7">
      <c r="G816" s="8" t="s">
        <v>465</v>
      </c>
    </row>
    <row r="817" spans="7:7">
      <c r="G817" s="8" t="s">
        <v>1213</v>
      </c>
    </row>
    <row r="818" spans="7:7">
      <c r="G818" s="8" t="s">
        <v>1214</v>
      </c>
    </row>
    <row r="819" spans="7:7">
      <c r="G819" s="8" t="s">
        <v>467</v>
      </c>
    </row>
    <row r="820" spans="7:7">
      <c r="G820" s="8" t="s">
        <v>1215</v>
      </c>
    </row>
    <row r="821" spans="7:7">
      <c r="G821" s="8" t="s">
        <v>468</v>
      </c>
    </row>
    <row r="822" spans="7:7">
      <c r="G822" s="8" t="s">
        <v>1216</v>
      </c>
    </row>
    <row r="823" spans="7:7">
      <c r="G823" s="8" t="s">
        <v>1217</v>
      </c>
    </row>
    <row r="824" spans="7:7">
      <c r="G824" s="8" t="s">
        <v>1218</v>
      </c>
    </row>
    <row r="825" spans="7:7">
      <c r="G825" s="8" t="s">
        <v>1219</v>
      </c>
    </row>
    <row r="826" spans="7:7">
      <c r="G826" s="8" t="s">
        <v>1220</v>
      </c>
    </row>
    <row r="827" spans="7:7">
      <c r="G827" s="8" t="s">
        <v>1221</v>
      </c>
    </row>
    <row r="828" spans="7:7">
      <c r="G828" s="8" t="s">
        <v>1222</v>
      </c>
    </row>
    <row r="829" spans="7:7">
      <c r="G829" s="8" t="s">
        <v>470</v>
      </c>
    </row>
    <row r="830" spans="7:7">
      <c r="G830" s="8" t="s">
        <v>1223</v>
      </c>
    </row>
    <row r="831" spans="7:7">
      <c r="G831" s="8" t="s">
        <v>1224</v>
      </c>
    </row>
    <row r="832" spans="7:7">
      <c r="G832" s="8" t="s">
        <v>1225</v>
      </c>
    </row>
    <row r="833" spans="7:7">
      <c r="G833" s="8" t="s">
        <v>1226</v>
      </c>
    </row>
    <row r="834" spans="7:7">
      <c r="G834" s="8" t="s">
        <v>1227</v>
      </c>
    </row>
    <row r="835" spans="7:7">
      <c r="G835" s="8" t="s">
        <v>1228</v>
      </c>
    </row>
    <row r="836" spans="7:7">
      <c r="G836" s="8" t="s">
        <v>1229</v>
      </c>
    </row>
    <row r="837" spans="7:7">
      <c r="G837" s="8" t="s">
        <v>1230</v>
      </c>
    </row>
    <row r="838" spans="7:7">
      <c r="G838" s="8" t="s">
        <v>1231</v>
      </c>
    </row>
    <row r="839" spans="7:7">
      <c r="G839" s="8" t="s">
        <v>1232</v>
      </c>
    </row>
    <row r="840" spans="7:7">
      <c r="G840" s="8" t="s">
        <v>1233</v>
      </c>
    </row>
    <row r="841" spans="7:7">
      <c r="G841" s="8" t="s">
        <v>1234</v>
      </c>
    </row>
    <row r="842" spans="7:7">
      <c r="G842" s="8" t="s">
        <v>1235</v>
      </c>
    </row>
    <row r="843" spans="7:7">
      <c r="G843" s="8" t="s">
        <v>1236</v>
      </c>
    </row>
    <row r="844" spans="7:7">
      <c r="G844" s="8" t="s">
        <v>471</v>
      </c>
    </row>
    <row r="845" spans="7:7">
      <c r="G845" s="8" t="s">
        <v>1237</v>
      </c>
    </row>
    <row r="846" spans="7:7">
      <c r="G846" s="8" t="s">
        <v>1238</v>
      </c>
    </row>
    <row r="847" spans="7:7">
      <c r="G847" s="8" t="s">
        <v>472</v>
      </c>
    </row>
    <row r="848" spans="7:7">
      <c r="G848" s="8" t="s">
        <v>473</v>
      </c>
    </row>
    <row r="849" spans="7:7">
      <c r="G849" s="8" t="s">
        <v>1239</v>
      </c>
    </row>
    <row r="850" spans="7:7">
      <c r="G850" s="8" t="s">
        <v>1240</v>
      </c>
    </row>
    <row r="851" spans="7:7">
      <c r="G851" s="8" t="s">
        <v>1241</v>
      </c>
    </row>
    <row r="852" spans="7:7">
      <c r="G852" s="8" t="s">
        <v>1242</v>
      </c>
    </row>
    <row r="853" spans="7:7">
      <c r="G853" s="8" t="s">
        <v>1243</v>
      </c>
    </row>
    <row r="854" spans="7:7">
      <c r="G854" s="8" t="s">
        <v>1244</v>
      </c>
    </row>
    <row r="855" spans="7:7">
      <c r="G855" s="8" t="s">
        <v>1245</v>
      </c>
    </row>
    <row r="856" spans="7:7">
      <c r="G856" s="8" t="s">
        <v>1246</v>
      </c>
    </row>
    <row r="857" spans="7:7">
      <c r="G857" s="8" t="s">
        <v>1247</v>
      </c>
    </row>
    <row r="858" spans="7:7">
      <c r="G858" s="8" t="s">
        <v>1248</v>
      </c>
    </row>
    <row r="859" spans="7:7">
      <c r="G859" s="8" t="s">
        <v>1249</v>
      </c>
    </row>
    <row r="860" spans="7:7">
      <c r="G860" s="8" t="s">
        <v>1250</v>
      </c>
    </row>
    <row r="861" spans="7:7">
      <c r="G861" s="8" t="s">
        <v>1251</v>
      </c>
    </row>
    <row r="862" spans="7:7">
      <c r="G862" s="8" t="s">
        <v>1252</v>
      </c>
    </row>
    <row r="863" spans="7:7">
      <c r="G863" s="8" t="s">
        <v>1253</v>
      </c>
    </row>
    <row r="864" spans="7:7">
      <c r="G864" s="8" t="s">
        <v>1254</v>
      </c>
    </row>
    <row r="865" spans="7:7">
      <c r="G865" s="8" t="s">
        <v>474</v>
      </c>
    </row>
    <row r="866" spans="7:7">
      <c r="G866" s="8" t="s">
        <v>1255</v>
      </c>
    </row>
    <row r="867" spans="7:7">
      <c r="G867" s="8" t="s">
        <v>1256</v>
      </c>
    </row>
    <row r="868" spans="7:7">
      <c r="G868" s="8" t="s">
        <v>475</v>
      </c>
    </row>
    <row r="869" spans="7:7">
      <c r="G869" s="8" t="s">
        <v>1257</v>
      </c>
    </row>
    <row r="870" spans="7:7">
      <c r="G870" s="8" t="s">
        <v>518</v>
      </c>
    </row>
    <row r="871" spans="7:7">
      <c r="G871" s="8" t="s">
        <v>1258</v>
      </c>
    </row>
    <row r="872" spans="7:7">
      <c r="G872" s="8" t="s">
        <v>476</v>
      </c>
    </row>
    <row r="873" spans="7:7">
      <c r="G873" s="8" t="s">
        <v>477</v>
      </c>
    </row>
    <row r="874" spans="7:7">
      <c r="G874" s="8" t="s">
        <v>478</v>
      </c>
    </row>
    <row r="875" spans="7:7">
      <c r="G875" s="8" t="s">
        <v>1259</v>
      </c>
    </row>
    <row r="876" spans="7:7">
      <c r="G876" s="8" t="s">
        <v>479</v>
      </c>
    </row>
    <row r="877" spans="7:7">
      <c r="G877" s="8" t="s">
        <v>1260</v>
      </c>
    </row>
    <row r="878" spans="7:7">
      <c r="G878" s="8" t="s">
        <v>1261</v>
      </c>
    </row>
    <row r="879" spans="7:7">
      <c r="G879" s="8" t="s">
        <v>1262</v>
      </c>
    </row>
    <row r="880" spans="7:7">
      <c r="G880" s="8" t="s">
        <v>1263</v>
      </c>
    </row>
    <row r="881" spans="7:7">
      <c r="G881" s="8" t="s">
        <v>1264</v>
      </c>
    </row>
    <row r="882" spans="7:7">
      <c r="G882" s="8" t="s">
        <v>1265</v>
      </c>
    </row>
    <row r="883" spans="7:7">
      <c r="G883" s="8" t="s">
        <v>1266</v>
      </c>
    </row>
    <row r="884" spans="7:7">
      <c r="G884" s="8" t="s">
        <v>480</v>
      </c>
    </row>
    <row r="885" spans="7:7">
      <c r="G885" s="8" t="s">
        <v>1267</v>
      </c>
    </row>
    <row r="886" spans="7:7">
      <c r="G886" s="8" t="s">
        <v>1268</v>
      </c>
    </row>
    <row r="887" spans="7:7">
      <c r="G887" s="8" t="s">
        <v>1269</v>
      </c>
    </row>
    <row r="888" spans="7:7">
      <c r="G888" s="8" t="s">
        <v>1270</v>
      </c>
    </row>
    <row r="889" spans="7:7">
      <c r="G889" s="8" t="s">
        <v>1271</v>
      </c>
    </row>
    <row r="890" spans="7:7">
      <c r="G890" s="8" t="s">
        <v>1272</v>
      </c>
    </row>
    <row r="891" spans="7:7">
      <c r="G891" s="8" t="s">
        <v>481</v>
      </c>
    </row>
    <row r="892" spans="7:7">
      <c r="G892" s="8" t="s">
        <v>1273</v>
      </c>
    </row>
    <row r="893" spans="7:7">
      <c r="G893" s="8" t="s">
        <v>482</v>
      </c>
    </row>
    <row r="894" spans="7:7">
      <c r="G894" s="8" t="s">
        <v>1275</v>
      </c>
    </row>
    <row r="895" spans="7:7">
      <c r="G895" s="8" t="s">
        <v>1276</v>
      </c>
    </row>
    <row r="896" spans="7:7">
      <c r="G896" s="8" t="s">
        <v>483</v>
      </c>
    </row>
    <row r="897" spans="7:7">
      <c r="G897" s="8" t="s">
        <v>1277</v>
      </c>
    </row>
    <row r="898" spans="7:7">
      <c r="G898" s="8" t="s">
        <v>1278</v>
      </c>
    </row>
    <row r="899" spans="7:7">
      <c r="G899" s="8" t="s">
        <v>1279</v>
      </c>
    </row>
    <row r="900" spans="7:7">
      <c r="G900" s="8" t="s">
        <v>1280</v>
      </c>
    </row>
    <row r="901" spans="7:7">
      <c r="G901" s="8" t="s">
        <v>484</v>
      </c>
    </row>
    <row r="902" spans="7:7">
      <c r="G902" s="8" t="s">
        <v>485</v>
      </c>
    </row>
    <row r="903" spans="7:7">
      <c r="G903" s="8" t="s">
        <v>1281</v>
      </c>
    </row>
    <row r="904" spans="7:7">
      <c r="G904" s="8" t="s">
        <v>1282</v>
      </c>
    </row>
    <row r="905" spans="7:7">
      <c r="G905" s="8" t="s">
        <v>486</v>
      </c>
    </row>
    <row r="906" spans="7:7">
      <c r="G906" s="8" t="s">
        <v>487</v>
      </c>
    </row>
    <row r="907" spans="7:7">
      <c r="G907" s="8" t="s">
        <v>1283</v>
      </c>
    </row>
    <row r="908" spans="7:7">
      <c r="G908" s="8" t="s">
        <v>1284</v>
      </c>
    </row>
    <row r="909" spans="7:7">
      <c r="G909" s="8" t="s">
        <v>1285</v>
      </c>
    </row>
    <row r="910" spans="7:7">
      <c r="G910" s="8" t="s">
        <v>1286</v>
      </c>
    </row>
    <row r="911" spans="7:7">
      <c r="G911" s="8" t="s">
        <v>1287</v>
      </c>
    </row>
    <row r="912" spans="7:7">
      <c r="G912" s="8" t="s">
        <v>1288</v>
      </c>
    </row>
    <row r="913" spans="7:7">
      <c r="G913" s="8" t="s">
        <v>1289</v>
      </c>
    </row>
    <row r="914" spans="7:7">
      <c r="G914" s="8" t="s">
        <v>1290</v>
      </c>
    </row>
    <row r="915" spans="7:7">
      <c r="G915" s="8" t="s">
        <v>488</v>
      </c>
    </row>
    <row r="916" spans="7:7">
      <c r="G916" s="8" t="s">
        <v>1291</v>
      </c>
    </row>
    <row r="917" spans="7:7">
      <c r="G917" s="8" t="s">
        <v>489</v>
      </c>
    </row>
    <row r="918" spans="7:7">
      <c r="G918" s="8" t="s">
        <v>490</v>
      </c>
    </row>
    <row r="919" spans="7:7">
      <c r="G919" s="8" t="s">
        <v>1292</v>
      </c>
    </row>
    <row r="920" spans="7:7">
      <c r="G920" s="8" t="s">
        <v>1293</v>
      </c>
    </row>
    <row r="921" spans="7:7">
      <c r="G921" s="8" t="s">
        <v>491</v>
      </c>
    </row>
    <row r="922" spans="7:7">
      <c r="G922" s="8" t="s">
        <v>492</v>
      </c>
    </row>
    <row r="923" spans="7:7">
      <c r="G923" s="8" t="s">
        <v>1294</v>
      </c>
    </row>
    <row r="924" spans="7:7">
      <c r="G924" s="8" t="s">
        <v>493</v>
      </c>
    </row>
    <row r="925" spans="7:7">
      <c r="G925" s="8" t="s">
        <v>1295</v>
      </c>
    </row>
    <row r="926" spans="7:7">
      <c r="G926" s="8" t="s">
        <v>1296</v>
      </c>
    </row>
    <row r="927" spans="7:7">
      <c r="G927" s="8" t="s">
        <v>1297</v>
      </c>
    </row>
    <row r="928" spans="7:7">
      <c r="G928" s="8" t="s">
        <v>1298</v>
      </c>
    </row>
    <row r="929" spans="7:7">
      <c r="G929" s="8" t="s">
        <v>1299</v>
      </c>
    </row>
    <row r="930" spans="7:7">
      <c r="G930" s="8" t="s">
        <v>494</v>
      </c>
    </row>
    <row r="931" spans="7:7">
      <c r="G931" s="8" t="s">
        <v>495</v>
      </c>
    </row>
    <row r="932" spans="7:7">
      <c r="G932" s="8" t="s">
        <v>496</v>
      </c>
    </row>
    <row r="933" spans="7:7">
      <c r="G933" s="8" t="s">
        <v>1300</v>
      </c>
    </row>
    <row r="934" spans="7:7">
      <c r="G934" s="8" t="s">
        <v>1301</v>
      </c>
    </row>
    <row r="935" spans="7:7">
      <c r="G935" s="8" t="s">
        <v>1302</v>
      </c>
    </row>
    <row r="936" spans="7:7">
      <c r="G936" s="8" t="s">
        <v>497</v>
      </c>
    </row>
    <row r="937" spans="7:7">
      <c r="G937" s="8" t="s">
        <v>1303</v>
      </c>
    </row>
    <row r="938" spans="7:7">
      <c r="G938" s="8" t="s">
        <v>1304</v>
      </c>
    </row>
    <row r="939" spans="7:7">
      <c r="G939" s="8" t="s">
        <v>498</v>
      </c>
    </row>
    <row r="940" spans="7:7">
      <c r="G940" s="8" t="s">
        <v>499</v>
      </c>
    </row>
    <row r="941" spans="7:7">
      <c r="G941" s="8" t="s">
        <v>500</v>
      </c>
    </row>
    <row r="942" spans="7:7">
      <c r="G942" s="8" t="s">
        <v>501</v>
      </c>
    </row>
    <row r="943" spans="7:7">
      <c r="G943" s="8" t="s">
        <v>502</v>
      </c>
    </row>
    <row r="944" spans="7:7">
      <c r="G944" s="8" t="s">
        <v>503</v>
      </c>
    </row>
    <row r="945" spans="7:7">
      <c r="G945" s="8" t="s">
        <v>504</v>
      </c>
    </row>
    <row r="946" spans="7:7">
      <c r="G946" s="8" t="s">
        <v>1305</v>
      </c>
    </row>
    <row r="947" spans="7:7">
      <c r="G947" s="8" t="s">
        <v>505</v>
      </c>
    </row>
    <row r="948" spans="7:7">
      <c r="G948" s="8" t="s">
        <v>506</v>
      </c>
    </row>
    <row r="949" spans="7:7">
      <c r="G949" s="8" t="s">
        <v>507</v>
      </c>
    </row>
    <row r="950" spans="7:7">
      <c r="G950" s="8" t="s">
        <v>1306</v>
      </c>
    </row>
    <row r="951" spans="7:7">
      <c r="G951" s="8" t="s">
        <v>1307</v>
      </c>
    </row>
    <row r="952" spans="7:7">
      <c r="G952" s="8" t="s">
        <v>508</v>
      </c>
    </row>
    <row r="953" spans="7:7">
      <c r="G953" s="8" t="s">
        <v>1308</v>
      </c>
    </row>
    <row r="954" spans="7:7">
      <c r="G954" s="8" t="s">
        <v>509</v>
      </c>
    </row>
    <row r="955" spans="7:7">
      <c r="G955" s="8" t="s">
        <v>1309</v>
      </c>
    </row>
    <row r="956" spans="7:7">
      <c r="G956" s="8" t="s">
        <v>510</v>
      </c>
    </row>
    <row r="957" spans="7:7">
      <c r="G957" s="8" t="s">
        <v>1310</v>
      </c>
    </row>
    <row r="958" spans="7:7">
      <c r="G958" s="8" t="s">
        <v>1311</v>
      </c>
    </row>
    <row r="959" spans="7:7">
      <c r="G959" s="8" t="s">
        <v>1312</v>
      </c>
    </row>
    <row r="960" spans="7:7">
      <c r="G960" s="8" t="s">
        <v>1313</v>
      </c>
    </row>
    <row r="961" spans="7:7">
      <c r="G961" s="8" t="s">
        <v>1314</v>
      </c>
    </row>
    <row r="962" spans="7:7">
      <c r="G962" s="8" t="s">
        <v>1315</v>
      </c>
    </row>
    <row r="963" spans="7:7">
      <c r="G963" s="8" t="s">
        <v>1316</v>
      </c>
    </row>
    <row r="964" spans="7:7">
      <c r="G964" s="8" t="s">
        <v>511</v>
      </c>
    </row>
    <row r="965" spans="7:7">
      <c r="G965" s="8" t="s">
        <v>1317</v>
      </c>
    </row>
    <row r="966" spans="7:7">
      <c r="G966" s="8" t="s">
        <v>1318</v>
      </c>
    </row>
    <row r="967" spans="7:7">
      <c r="G967" s="8" t="s">
        <v>1319</v>
      </c>
    </row>
    <row r="968" spans="7:7">
      <c r="G968" s="8" t="s">
        <v>513</v>
      </c>
    </row>
    <row r="969" spans="7:7">
      <c r="G969" s="8" t="s">
        <v>514</v>
      </c>
    </row>
    <row r="970" spans="7:7">
      <c r="G970" s="8" t="s">
        <v>1320</v>
      </c>
    </row>
    <row r="971" spans="7:7">
      <c r="G971" s="8" t="s">
        <v>1321</v>
      </c>
    </row>
    <row r="972" spans="7:7">
      <c r="G972" s="8" t="s">
        <v>1322</v>
      </c>
    </row>
    <row r="973" spans="7:7">
      <c r="G973" s="8" t="s">
        <v>1323</v>
      </c>
    </row>
    <row r="974" spans="7:7">
      <c r="G974" s="8" t="s">
        <v>515</v>
      </c>
    </row>
    <row r="975" spans="7:7">
      <c r="G975" s="8" t="s">
        <v>1324</v>
      </c>
    </row>
    <row r="976" spans="7:7">
      <c r="G976" s="8" t="s">
        <v>516</v>
      </c>
    </row>
    <row r="977" spans="7:7">
      <c r="G977" s="8" t="s">
        <v>517</v>
      </c>
    </row>
    <row r="978" spans="7:7">
      <c r="G978" s="8" t="s">
        <v>1325</v>
      </c>
    </row>
    <row r="979" spans="7:7">
      <c r="G979" s="8" t="s">
        <v>1326</v>
      </c>
    </row>
    <row r="980" spans="7:7">
      <c r="G980" s="8" t="s">
        <v>1327</v>
      </c>
    </row>
    <row r="981" spans="7:7">
      <c r="G981" s="8" t="s">
        <v>1328</v>
      </c>
    </row>
    <row r="982" spans="7:7">
      <c r="G982" s="8" t="s">
        <v>1329</v>
      </c>
    </row>
    <row r="983" spans="7:7">
      <c r="G983" s="8" t="s">
        <v>1330</v>
      </c>
    </row>
    <row r="984" spans="7:7">
      <c r="G984" s="8"/>
    </row>
    <row r="985" spans="7:7">
      <c r="G985" s="8"/>
    </row>
    <row r="986" spans="7:7">
      <c r="G986" s="8"/>
    </row>
    <row r="987" spans="7:7">
      <c r="G987" s="8"/>
    </row>
    <row r="988" spans="7:7">
      <c r="G988" s="8"/>
    </row>
    <row r="989" spans="7:7">
      <c r="G989" s="8"/>
    </row>
    <row r="990" spans="7:7">
      <c r="G990" s="8"/>
    </row>
    <row r="991" spans="7:7">
      <c r="G991" s="8"/>
    </row>
    <row r="992" spans="7:7">
      <c r="G992" s="8"/>
    </row>
    <row r="993" spans="7:7">
      <c r="G993" s="8"/>
    </row>
    <row r="994" spans="7:7">
      <c r="G994" s="8"/>
    </row>
    <row r="995" spans="7:7">
      <c r="G995" s="8"/>
    </row>
    <row r="996" spans="7:7">
      <c r="G996" s="8"/>
    </row>
    <row r="997" spans="7:7">
      <c r="G997" s="8"/>
    </row>
    <row r="998" spans="7:7">
      <c r="G998" s="8"/>
    </row>
    <row r="999" spans="7:7">
      <c r="G999" s="8"/>
    </row>
    <row r="1000" spans="7:7">
      <c r="G1000" s="8"/>
    </row>
    <row r="1001" spans="7:7">
      <c r="G1001" s="8"/>
    </row>
    <row r="1002" spans="7:7">
      <c r="G1002" s="8"/>
    </row>
    <row r="1003" spans="7:7">
      <c r="G1003" s="8"/>
    </row>
    <row r="1004" spans="7:7">
      <c r="G1004" s="8"/>
    </row>
    <row r="1005" spans="7:7">
      <c r="G1005" s="8"/>
    </row>
    <row r="1006" spans="7:7">
      <c r="G1006" s="8"/>
    </row>
    <row r="1007" spans="7:7">
      <c r="G1007" s="8"/>
    </row>
    <row r="1008" spans="7:7">
      <c r="G1008" s="8"/>
    </row>
    <row r="1009" spans="7:7">
      <c r="G1009" s="8"/>
    </row>
    <row r="1010" spans="7:7">
      <c r="G1010" s="8"/>
    </row>
    <row r="1011" spans="7:7">
      <c r="G1011" s="8"/>
    </row>
  </sheetData>
  <sortState xmlns:xlrd2="http://schemas.microsoft.com/office/spreadsheetml/2017/richdata2" ref="D4:D19">
    <sortCondition ref="D4:D1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6"/>
  <sheetViews>
    <sheetView showZeros="0" topLeftCell="A31" workbookViewId="0">
      <selection activeCell="G43" sqref="G43"/>
    </sheetView>
  </sheetViews>
  <sheetFormatPr baseColWidth="10" defaultColWidth="11.42578125" defaultRowHeight="15"/>
  <cols>
    <col min="2" max="2" width="29.5703125" customWidth="1" collapsed="1"/>
    <col min="3" max="5" width="21.140625" customWidth="1" collapsed="1"/>
    <col min="6" max="6" width="15.7109375" style="96" customWidth="1" collapsed="1"/>
    <col min="7" max="7" width="11.140625" style="96" customWidth="1" collapsed="1"/>
    <col min="8" max="8" width="15.140625" style="96" customWidth="1" collapsed="1"/>
    <col min="10" max="10" width="2.5703125" customWidth="1" collapsed="1"/>
  </cols>
  <sheetData>
    <row r="1" spans="1:13">
      <c r="A1" s="6" t="s">
        <v>1466</v>
      </c>
      <c r="K1" s="417" t="s">
        <v>1467</v>
      </c>
      <c r="L1" s="417"/>
      <c r="M1" s="417"/>
    </row>
    <row r="2" spans="1:13">
      <c r="A2" s="6" t="s">
        <v>1674</v>
      </c>
      <c r="K2" s="418">
        <f>+M80+M63+M43+M33+M9</f>
        <v>0</v>
      </c>
      <c r="L2" s="418"/>
      <c r="M2" s="418"/>
    </row>
    <row r="3" spans="1:13">
      <c r="A3" s="6" t="s">
        <v>1676</v>
      </c>
    </row>
    <row r="4" spans="1:13">
      <c r="A4" s="6" t="s">
        <v>1675</v>
      </c>
    </row>
    <row r="7" spans="1:13" ht="15.75">
      <c r="A7" s="324" t="s">
        <v>1341</v>
      </c>
      <c r="B7" s="325"/>
      <c r="C7" s="325"/>
      <c r="D7" s="325"/>
      <c r="E7" s="326"/>
      <c r="F7" s="183" t="s">
        <v>1670</v>
      </c>
      <c r="K7" s="419" t="s">
        <v>1468</v>
      </c>
      <c r="L7" s="419"/>
      <c r="M7" s="419"/>
    </row>
    <row r="8" spans="1:13">
      <c r="A8" s="316" t="s">
        <v>96</v>
      </c>
      <c r="B8" s="317"/>
      <c r="C8" s="420">
        <f>+FORMULARIO!C31</f>
        <v>0</v>
      </c>
      <c r="D8" s="421"/>
      <c r="E8" s="422"/>
      <c r="F8" s="96">
        <f>+IF(C8&gt;=1,1,0)</f>
        <v>0</v>
      </c>
      <c r="K8" s="184">
        <v>1</v>
      </c>
      <c r="L8" s="149" t="s">
        <v>1671</v>
      </c>
      <c r="M8" s="149" t="s">
        <v>1672</v>
      </c>
    </row>
    <row r="9" spans="1:13">
      <c r="A9" s="318" t="s">
        <v>97</v>
      </c>
      <c r="B9" s="319"/>
      <c r="C9" s="420">
        <f>+FORMULARIO!C32</f>
        <v>0</v>
      </c>
      <c r="D9" s="421"/>
      <c r="E9" s="422"/>
      <c r="F9" s="96">
        <f t="shared" ref="F9:F30" si="0">+IF(C9&gt;=1,1,0)</f>
        <v>0</v>
      </c>
      <c r="K9" s="149">
        <f>+F31</f>
        <v>0</v>
      </c>
      <c r="L9" s="185">
        <f>+K9/23</f>
        <v>0</v>
      </c>
      <c r="M9" s="186">
        <f>+L9*0.05</f>
        <v>0</v>
      </c>
    </row>
    <row r="10" spans="1:13">
      <c r="A10" s="318" t="s">
        <v>98</v>
      </c>
      <c r="B10" s="319"/>
      <c r="C10" s="420">
        <f>+FORMULARIO!C33</f>
        <v>0</v>
      </c>
      <c r="D10" s="421"/>
      <c r="E10" s="422"/>
      <c r="F10" s="96">
        <f t="shared" si="0"/>
        <v>0</v>
      </c>
    </row>
    <row r="11" spans="1:13">
      <c r="A11" s="318" t="s">
        <v>99</v>
      </c>
      <c r="B11" s="319"/>
      <c r="C11" s="420">
        <f>+FORMULARIO!C34</f>
        <v>0</v>
      </c>
      <c r="D11" s="421"/>
      <c r="E11" s="422"/>
      <c r="F11" s="96">
        <f t="shared" si="0"/>
        <v>0</v>
      </c>
    </row>
    <row r="12" spans="1:13">
      <c r="A12" s="318" t="s">
        <v>100</v>
      </c>
      <c r="B12" s="319"/>
      <c r="C12" s="420">
        <f>+FORMULARIO!C35</f>
        <v>0</v>
      </c>
      <c r="D12" s="421"/>
      <c r="E12" s="422"/>
      <c r="F12" s="96">
        <f t="shared" si="0"/>
        <v>0</v>
      </c>
    </row>
    <row r="13" spans="1:13">
      <c r="A13" s="333" t="s">
        <v>101</v>
      </c>
      <c r="B13" s="334"/>
      <c r="C13" s="420">
        <f>+FORMULARIO!C36</f>
        <v>0</v>
      </c>
      <c r="D13" s="421"/>
      <c r="E13" s="422"/>
      <c r="F13" s="96">
        <f t="shared" si="0"/>
        <v>0</v>
      </c>
    </row>
    <row r="14" spans="1:13">
      <c r="A14" s="318" t="s">
        <v>1342</v>
      </c>
      <c r="B14" s="319"/>
      <c r="C14" s="420">
        <f>+FORMULARIO!C37</f>
        <v>0</v>
      </c>
      <c r="D14" s="421"/>
      <c r="E14" s="422"/>
      <c r="F14" s="96">
        <f t="shared" si="0"/>
        <v>0</v>
      </c>
    </row>
    <row r="15" spans="1:13">
      <c r="A15" s="318" t="s">
        <v>103</v>
      </c>
      <c r="B15" s="319"/>
      <c r="C15" s="420">
        <f>+FORMULARIO!C38</f>
        <v>0</v>
      </c>
      <c r="D15" s="421"/>
      <c r="E15" s="422"/>
      <c r="F15" s="96">
        <f t="shared" si="0"/>
        <v>0</v>
      </c>
    </row>
    <row r="16" spans="1:13">
      <c r="A16" s="318" t="s">
        <v>104</v>
      </c>
      <c r="B16" s="319"/>
      <c r="C16" s="420">
        <f>+FORMULARIO!C39</f>
        <v>0</v>
      </c>
      <c r="D16" s="421"/>
      <c r="E16" s="422"/>
      <c r="F16" s="96">
        <f t="shared" si="0"/>
        <v>0</v>
      </c>
    </row>
    <row r="17" spans="1:13">
      <c r="A17" s="318" t="s">
        <v>105</v>
      </c>
      <c r="B17" s="319"/>
      <c r="C17" s="420">
        <f>+FORMULARIO!C40</f>
        <v>0</v>
      </c>
      <c r="D17" s="421"/>
      <c r="E17" s="422"/>
      <c r="F17" s="96">
        <f t="shared" si="0"/>
        <v>0</v>
      </c>
    </row>
    <row r="18" spans="1:13">
      <c r="A18" s="318" t="s">
        <v>106</v>
      </c>
      <c r="B18" s="319"/>
      <c r="C18" s="420">
        <f>+FORMULARIO!C41</f>
        <v>0</v>
      </c>
      <c r="D18" s="421"/>
      <c r="E18" s="422"/>
      <c r="F18" s="96">
        <f t="shared" si="0"/>
        <v>0</v>
      </c>
    </row>
    <row r="19" spans="1:13">
      <c r="A19" s="318" t="s">
        <v>175</v>
      </c>
      <c r="B19" s="327"/>
      <c r="C19" s="420">
        <f>+FORMULARIO!C42</f>
        <v>0</v>
      </c>
      <c r="D19" s="421"/>
      <c r="E19" s="422"/>
      <c r="F19" s="96">
        <f t="shared" si="0"/>
        <v>0</v>
      </c>
    </row>
    <row r="20" spans="1:13">
      <c r="A20" s="332" t="s">
        <v>1426</v>
      </c>
      <c r="B20" s="332"/>
      <c r="C20" s="420">
        <f>+FORMULARIO!C43</f>
        <v>0</v>
      </c>
      <c r="D20" s="421"/>
      <c r="E20" s="422"/>
      <c r="F20" s="96">
        <f t="shared" si="0"/>
        <v>0</v>
      </c>
    </row>
    <row r="21" spans="1:13">
      <c r="A21" s="332" t="s">
        <v>1411</v>
      </c>
      <c r="B21" s="332"/>
      <c r="C21" s="420">
        <f>+FORMULARIO!C44</f>
        <v>0</v>
      </c>
      <c r="D21" s="421"/>
      <c r="E21" s="422"/>
      <c r="F21" s="96">
        <f t="shared" si="0"/>
        <v>0</v>
      </c>
    </row>
    <row r="22" spans="1:13">
      <c r="A22" s="315" t="s">
        <v>1412</v>
      </c>
      <c r="B22" s="315"/>
      <c r="C22" s="420">
        <f>+FORMULARIO!C45</f>
        <v>0</v>
      </c>
      <c r="D22" s="421"/>
      <c r="E22" s="422"/>
      <c r="F22" s="96">
        <f t="shared" si="0"/>
        <v>0</v>
      </c>
    </row>
    <row r="23" spans="1:13">
      <c r="A23" s="315" t="s">
        <v>1425</v>
      </c>
      <c r="B23" s="315"/>
      <c r="C23" s="420">
        <f>+FORMULARIO!C46</f>
        <v>0</v>
      </c>
      <c r="D23" s="421"/>
      <c r="E23" s="422"/>
      <c r="F23" s="96">
        <f t="shared" si="0"/>
        <v>0</v>
      </c>
    </row>
    <row r="24" spans="1:13">
      <c r="A24" s="315" t="s">
        <v>1413</v>
      </c>
      <c r="B24" s="315"/>
      <c r="C24" s="420">
        <f>+FORMULARIO!C47</f>
        <v>0</v>
      </c>
      <c r="D24" s="421"/>
      <c r="E24" s="422"/>
      <c r="F24" s="96">
        <f t="shared" si="0"/>
        <v>0</v>
      </c>
    </row>
    <row r="25" spans="1:13">
      <c r="A25" s="315" t="s">
        <v>1424</v>
      </c>
      <c r="B25" s="315"/>
      <c r="C25" s="420">
        <f>+FORMULARIO!C48</f>
        <v>0</v>
      </c>
      <c r="D25" s="421"/>
      <c r="E25" s="422"/>
      <c r="F25" s="96">
        <f t="shared" si="0"/>
        <v>0</v>
      </c>
    </row>
    <row r="26" spans="1:13">
      <c r="A26" s="318" t="s">
        <v>109</v>
      </c>
      <c r="B26" s="319"/>
      <c r="C26" s="420">
        <f>+FORMULARIO!C49</f>
        <v>0</v>
      </c>
      <c r="D26" s="421"/>
      <c r="E26" s="422"/>
      <c r="F26" s="96">
        <f t="shared" si="0"/>
        <v>0</v>
      </c>
    </row>
    <row r="27" spans="1:13">
      <c r="A27" s="318" t="s">
        <v>110</v>
      </c>
      <c r="B27" s="319"/>
      <c r="C27" s="420">
        <f>+FORMULARIO!C50</f>
        <v>0</v>
      </c>
      <c r="D27" s="421"/>
      <c r="E27" s="422"/>
      <c r="F27" s="96">
        <f t="shared" si="0"/>
        <v>0</v>
      </c>
    </row>
    <row r="28" spans="1:13">
      <c r="A28" s="318" t="s">
        <v>111</v>
      </c>
      <c r="B28" s="319"/>
      <c r="C28" s="420">
        <f>+FORMULARIO!C51</f>
        <v>0</v>
      </c>
      <c r="D28" s="421"/>
      <c r="E28" s="422"/>
      <c r="F28" s="96">
        <f t="shared" si="0"/>
        <v>0</v>
      </c>
    </row>
    <row r="29" spans="1:13">
      <c r="A29" s="318" t="s">
        <v>112</v>
      </c>
      <c r="B29" s="319"/>
      <c r="C29" s="420">
        <f>+FORMULARIO!C52</f>
        <v>0</v>
      </c>
      <c r="D29" s="421"/>
      <c r="E29" s="422"/>
      <c r="F29" s="96">
        <f t="shared" si="0"/>
        <v>0</v>
      </c>
    </row>
    <row r="30" spans="1:13">
      <c r="A30" s="336" t="s">
        <v>113</v>
      </c>
      <c r="B30" s="337"/>
      <c r="C30" s="420">
        <f>+FORMULARIO!C53</f>
        <v>0</v>
      </c>
      <c r="D30" s="421"/>
      <c r="E30" s="422"/>
      <c r="F30" s="96">
        <f t="shared" si="0"/>
        <v>0</v>
      </c>
    </row>
    <row r="31" spans="1:13" ht="15.75">
      <c r="A31" s="324" t="s">
        <v>114</v>
      </c>
      <c r="B31" s="325"/>
      <c r="C31" s="325"/>
      <c r="D31" s="325"/>
      <c r="E31" s="326"/>
      <c r="F31" s="96">
        <f>SUM(F8:F30)</f>
        <v>0</v>
      </c>
      <c r="K31" s="419" t="s">
        <v>1470</v>
      </c>
      <c r="L31" s="419"/>
      <c r="M31" s="419"/>
    </row>
    <row r="32" spans="1:13">
      <c r="A32" s="316" t="s">
        <v>115</v>
      </c>
      <c r="B32" s="317"/>
      <c r="C32" s="423">
        <f>+FORMULARIO!C55</f>
        <v>0</v>
      </c>
      <c r="D32" s="424"/>
      <c r="E32" s="425"/>
      <c r="F32" s="96">
        <f t="shared" ref="F32:F39" si="1">+IF(C32&gt;=1,1,0)</f>
        <v>0</v>
      </c>
      <c r="K32" s="184">
        <v>1</v>
      </c>
      <c r="L32" s="149" t="s">
        <v>1671</v>
      </c>
      <c r="M32" s="149" t="s">
        <v>1672</v>
      </c>
    </row>
    <row r="33" spans="1:13">
      <c r="A33" s="318" t="s">
        <v>116</v>
      </c>
      <c r="B33" s="319"/>
      <c r="C33" s="423">
        <f>+FORMULARIO!C56</f>
        <v>0</v>
      </c>
      <c r="D33" s="424"/>
      <c r="E33" s="425"/>
      <c r="F33" s="96">
        <f t="shared" si="1"/>
        <v>0</v>
      </c>
      <c r="K33" s="149">
        <f>+F40</f>
        <v>0</v>
      </c>
      <c r="L33" s="185">
        <f>+K33/8</f>
        <v>0</v>
      </c>
      <c r="M33" s="186">
        <f>+L33*0.05</f>
        <v>0</v>
      </c>
    </row>
    <row r="34" spans="1:13">
      <c r="A34" s="318" t="s">
        <v>117</v>
      </c>
      <c r="B34" s="319"/>
      <c r="C34" s="423">
        <f>+FORMULARIO!C57</f>
        <v>0</v>
      </c>
      <c r="D34" s="424"/>
      <c r="E34" s="425"/>
      <c r="F34" s="96">
        <f t="shared" si="1"/>
        <v>0</v>
      </c>
    </row>
    <row r="35" spans="1:13">
      <c r="A35" s="333" t="s">
        <v>118</v>
      </c>
      <c r="B35" s="358"/>
      <c r="C35" s="423">
        <f>+FORMULARIO!C58</f>
        <v>0</v>
      </c>
      <c r="D35" s="424"/>
      <c r="E35" s="425"/>
      <c r="F35" s="96">
        <f t="shared" si="1"/>
        <v>0</v>
      </c>
    </row>
    <row r="36" spans="1:13">
      <c r="A36" s="318" t="s">
        <v>109</v>
      </c>
      <c r="B36" s="319"/>
      <c r="C36" s="423">
        <f>+FORMULARIO!C59</f>
        <v>0</v>
      </c>
      <c r="D36" s="424"/>
      <c r="E36" s="425"/>
      <c r="F36" s="96">
        <f t="shared" si="1"/>
        <v>0</v>
      </c>
    </row>
    <row r="37" spans="1:13">
      <c r="A37" s="318" t="s">
        <v>119</v>
      </c>
      <c r="B37" s="319"/>
      <c r="C37" s="423">
        <f>+FORMULARIO!C60</f>
        <v>0</v>
      </c>
      <c r="D37" s="424"/>
      <c r="E37" s="425"/>
      <c r="F37" s="96">
        <f t="shared" si="1"/>
        <v>0</v>
      </c>
    </row>
    <row r="38" spans="1:13">
      <c r="A38" s="318" t="s">
        <v>113</v>
      </c>
      <c r="B38" s="319"/>
      <c r="C38" s="423">
        <f>+FORMULARIO!C61</f>
        <v>0</v>
      </c>
      <c r="D38" s="424"/>
      <c r="E38" s="425"/>
      <c r="F38" s="96">
        <f t="shared" si="1"/>
        <v>0</v>
      </c>
    </row>
    <row r="39" spans="1:13">
      <c r="A39" s="336" t="s">
        <v>110</v>
      </c>
      <c r="B39" s="337"/>
      <c r="C39" s="423">
        <f>+FORMULARIO!C62</f>
        <v>0</v>
      </c>
      <c r="D39" s="424"/>
      <c r="E39" s="425"/>
      <c r="F39" s="96">
        <f t="shared" si="1"/>
        <v>0</v>
      </c>
    </row>
    <row r="40" spans="1:13">
      <c r="A40" s="187"/>
      <c r="B40" s="188"/>
      <c r="C40" s="102"/>
      <c r="D40" s="106"/>
      <c r="E40" s="106"/>
      <c r="F40" s="96">
        <f>SUM(F32:F39)</f>
        <v>0</v>
      </c>
    </row>
    <row r="41" spans="1:13" ht="15.75">
      <c r="A41" s="324" t="s">
        <v>120</v>
      </c>
      <c r="B41" s="325"/>
      <c r="C41" s="325"/>
      <c r="D41" s="325"/>
      <c r="E41" s="325"/>
      <c r="F41" s="321"/>
      <c r="G41" s="357"/>
      <c r="H41" s="183" t="s">
        <v>1670</v>
      </c>
      <c r="K41" s="426" t="s">
        <v>1471</v>
      </c>
      <c r="L41" s="427"/>
      <c r="M41" s="428"/>
    </row>
    <row r="42" spans="1:13" ht="20.25">
      <c r="A42" s="363" t="s">
        <v>121</v>
      </c>
      <c r="B42" s="360"/>
      <c r="C42" s="360"/>
      <c r="D42" s="360"/>
      <c r="E42" s="364"/>
      <c r="F42" s="189" t="s">
        <v>176</v>
      </c>
      <c r="G42" s="112">
        <f>+FORMULARIO!G64</f>
        <v>0</v>
      </c>
      <c r="H42" s="190">
        <f>+IF(G42=1,1,0)</f>
        <v>0</v>
      </c>
      <c r="K42" s="184" t="s">
        <v>1472</v>
      </c>
      <c r="L42" s="149" t="s">
        <v>1671</v>
      </c>
      <c r="M42" s="149" t="s">
        <v>1473</v>
      </c>
    </row>
    <row r="43" spans="1:13" ht="20.25">
      <c r="A43" s="365"/>
      <c r="B43" s="362"/>
      <c r="C43" s="362"/>
      <c r="D43" s="362"/>
      <c r="E43" s="366"/>
      <c r="F43" s="191" t="s">
        <v>177</v>
      </c>
      <c r="G43" s="112">
        <f>+FORMULARIO!G65</f>
        <v>0</v>
      </c>
      <c r="H43" s="190">
        <f>+IF(G43=1,1,0)</f>
        <v>0</v>
      </c>
      <c r="K43" s="149">
        <f>SUM(H42:H43,H45:H46,H48,H50:H51,H53:H54,H58,H60)</f>
        <v>0</v>
      </c>
      <c r="L43" s="185">
        <f>+K43/7</f>
        <v>0</v>
      </c>
      <c r="M43" s="185">
        <f>+L43*0.2</f>
        <v>0</v>
      </c>
    </row>
    <row r="44" spans="1:13">
      <c r="A44" s="324" t="s">
        <v>122</v>
      </c>
      <c r="B44" s="325"/>
      <c r="C44" s="325"/>
      <c r="D44" s="325"/>
      <c r="E44" s="325"/>
      <c r="F44" s="325"/>
      <c r="G44" s="325"/>
      <c r="H44" s="183" t="s">
        <v>1670</v>
      </c>
    </row>
    <row r="45" spans="1:13" ht="27" customHeight="1">
      <c r="A45" s="359" t="s">
        <v>123</v>
      </c>
      <c r="B45" s="360"/>
      <c r="C45" s="360"/>
      <c r="D45" s="360"/>
      <c r="E45" s="360"/>
      <c r="F45" s="71" t="s">
        <v>176</v>
      </c>
      <c r="G45" s="112">
        <f>+FORMULARIO!G67</f>
        <v>0</v>
      </c>
      <c r="H45" s="190">
        <f>+IF(G45=1,1,0)</f>
        <v>0</v>
      </c>
    </row>
    <row r="46" spans="1:13" ht="27" customHeight="1">
      <c r="A46" s="361"/>
      <c r="B46" s="362"/>
      <c r="C46" s="362"/>
      <c r="D46" s="362"/>
      <c r="E46" s="362"/>
      <c r="F46" s="81" t="s">
        <v>177</v>
      </c>
      <c r="G46" s="112">
        <f>+FORMULARIO!G68</f>
        <v>0</v>
      </c>
      <c r="H46" s="190">
        <f>+IF(G46=1,1,0)</f>
        <v>0</v>
      </c>
    </row>
    <row r="47" spans="1:13">
      <c r="A47" s="324" t="s">
        <v>178</v>
      </c>
      <c r="B47" s="325"/>
      <c r="C47" s="325"/>
      <c r="D47" s="325"/>
      <c r="E47" s="325"/>
      <c r="F47" s="325"/>
      <c r="G47" s="325"/>
      <c r="H47" s="183" t="s">
        <v>1670</v>
      </c>
    </row>
    <row r="48" spans="1:13" ht="25.5" customHeight="1">
      <c r="A48" s="375" t="s">
        <v>1474</v>
      </c>
      <c r="B48" s="377"/>
      <c r="C48" s="382">
        <f>+FORMULARIO!C70</f>
        <v>0</v>
      </c>
      <c r="D48" s="383"/>
      <c r="E48" s="383"/>
      <c r="F48" s="383"/>
      <c r="G48" s="383"/>
      <c r="H48" s="190">
        <f>+IF(C48&gt;1,1,0)</f>
        <v>0</v>
      </c>
    </row>
    <row r="49" spans="1:13">
      <c r="A49" s="387" t="s">
        <v>124</v>
      </c>
      <c r="B49" s="388"/>
      <c r="C49" s="388"/>
      <c r="D49" s="388"/>
      <c r="E49" s="388"/>
      <c r="F49" s="388"/>
      <c r="G49" s="388"/>
      <c r="H49" s="183" t="s">
        <v>1670</v>
      </c>
    </row>
    <row r="50" spans="1:13" ht="20.25">
      <c r="A50" s="385" t="s">
        <v>1331</v>
      </c>
      <c r="B50" s="386"/>
      <c r="C50" s="386"/>
      <c r="D50" s="386"/>
      <c r="E50" s="386"/>
      <c r="F50" s="71" t="s">
        <v>176</v>
      </c>
      <c r="G50" s="112">
        <f>+FORMULARIO!G72</f>
        <v>0</v>
      </c>
      <c r="H50" s="190">
        <f t="shared" ref="H50:H54" si="2">+IF(G50=1,1,0)</f>
        <v>0</v>
      </c>
    </row>
    <row r="51" spans="1:13" ht="20.25">
      <c r="A51" s="361"/>
      <c r="B51" s="362"/>
      <c r="C51" s="362"/>
      <c r="D51" s="362"/>
      <c r="E51" s="362"/>
      <c r="F51" s="81" t="s">
        <v>177</v>
      </c>
      <c r="G51" s="112">
        <f>+FORMULARIO!G73</f>
        <v>0</v>
      </c>
      <c r="H51" s="190">
        <f t="shared" si="2"/>
        <v>0</v>
      </c>
    </row>
    <row r="52" spans="1:13">
      <c r="A52" s="324" t="s">
        <v>179</v>
      </c>
      <c r="B52" s="325"/>
      <c r="C52" s="325"/>
      <c r="D52" s="325"/>
      <c r="E52" s="325"/>
      <c r="F52" s="325"/>
      <c r="G52" s="325"/>
      <c r="H52" s="183" t="s">
        <v>1670</v>
      </c>
    </row>
    <row r="53" spans="1:13" ht="20.25">
      <c r="A53" s="390" t="s">
        <v>125</v>
      </c>
      <c r="B53" s="391"/>
      <c r="C53" s="391"/>
      <c r="D53" s="391"/>
      <c r="E53" s="391"/>
      <c r="F53" s="82" t="s">
        <v>176</v>
      </c>
      <c r="G53" s="112">
        <f>+FORMULARIO!G75</f>
        <v>0</v>
      </c>
      <c r="H53" s="190">
        <f t="shared" si="2"/>
        <v>0</v>
      </c>
    </row>
    <row r="54" spans="1:13" ht="20.25">
      <c r="A54" s="392"/>
      <c r="B54" s="393"/>
      <c r="C54" s="393"/>
      <c r="D54" s="393"/>
      <c r="E54" s="393"/>
      <c r="F54" s="72" t="s">
        <v>177</v>
      </c>
      <c r="G54" s="112">
        <f>+FORMULARIO!G76</f>
        <v>0</v>
      </c>
      <c r="H54" s="190">
        <f t="shared" si="2"/>
        <v>0</v>
      </c>
    </row>
    <row r="55" spans="1:13">
      <c r="A55" s="394" t="s">
        <v>126</v>
      </c>
      <c r="B55" s="395"/>
      <c r="C55" s="442">
        <f>+FORMULARIO!C77</f>
        <v>0</v>
      </c>
      <c r="D55" s="442"/>
      <c r="E55" s="442"/>
      <c r="F55" s="442"/>
      <c r="G55" s="442"/>
    </row>
    <row r="56" spans="1:13">
      <c r="A56" s="431" t="s">
        <v>127</v>
      </c>
      <c r="B56" s="432"/>
      <c r="C56" s="432"/>
      <c r="D56" s="388"/>
      <c r="E56" s="388"/>
      <c r="F56" s="432"/>
      <c r="G56" s="433"/>
      <c r="H56" s="183" t="s">
        <v>1670</v>
      </c>
    </row>
    <row r="57" spans="1:13" ht="45">
      <c r="A57" s="347" t="s">
        <v>1475</v>
      </c>
      <c r="B57" s="348"/>
      <c r="C57" s="83" t="s">
        <v>1476</v>
      </c>
      <c r="D57" s="434" t="s">
        <v>1477</v>
      </c>
      <c r="E57" s="434"/>
      <c r="F57" s="182" t="s">
        <v>1478</v>
      </c>
      <c r="G57" s="180" t="s">
        <v>1479</v>
      </c>
      <c r="H57" s="190"/>
    </row>
    <row r="58" spans="1:13" ht="20.25">
      <c r="A58" s="375"/>
      <c r="B58" s="376"/>
      <c r="C58" s="112">
        <f>+FORMULARIO!C80</f>
        <v>0</v>
      </c>
      <c r="D58" s="353">
        <f>+FORMULARIO!D80</f>
        <v>0</v>
      </c>
      <c r="E58" s="354"/>
      <c r="F58" s="112">
        <f>+FORMULARIO!F80</f>
        <v>0</v>
      </c>
      <c r="G58" s="112">
        <f>+FORMULARIO!G80</f>
        <v>0</v>
      </c>
      <c r="H58" s="190">
        <f>+IF(C58=1,1,IF(D58=1,1,IF(F58=1,1,IF(G58=1,1,0))))</f>
        <v>0</v>
      </c>
    </row>
    <row r="59" spans="1:13" ht="45">
      <c r="A59" s="347" t="s">
        <v>1480</v>
      </c>
      <c r="B59" s="348"/>
      <c r="C59" s="83" t="s">
        <v>1476</v>
      </c>
      <c r="D59" s="434" t="s">
        <v>1477</v>
      </c>
      <c r="E59" s="434"/>
      <c r="F59" s="182" t="s">
        <v>1478</v>
      </c>
      <c r="G59" s="181" t="s">
        <v>1479</v>
      </c>
      <c r="H59" s="190"/>
    </row>
    <row r="60" spans="1:13" ht="20.25">
      <c r="A60" s="349"/>
      <c r="B60" s="350"/>
      <c r="C60" s="114">
        <f>+FORMULARIO!C82</f>
        <v>0</v>
      </c>
      <c r="D60" s="355">
        <f>+FORMULARIO!D82</f>
        <v>0</v>
      </c>
      <c r="E60" s="356"/>
      <c r="F60" s="109">
        <f>+FORMULARIO!F82</f>
        <v>0</v>
      </c>
      <c r="G60" s="192">
        <f>+FORMULARIO!G82</f>
        <v>0</v>
      </c>
      <c r="H60" s="190">
        <f>+IF(C60=1,1,IF(D60=1,1,IF(F60=1,1,IF(G60=1,1,0))))</f>
        <v>0</v>
      </c>
    </row>
    <row r="61" spans="1:13" ht="15.75">
      <c r="A61" s="340" t="s">
        <v>132</v>
      </c>
      <c r="B61" s="341"/>
      <c r="C61" s="342"/>
      <c r="D61" s="342"/>
      <c r="E61" s="343"/>
      <c r="F61" s="183" t="s">
        <v>1670</v>
      </c>
      <c r="G61" s="193"/>
      <c r="K61" s="426" t="s">
        <v>1481</v>
      </c>
      <c r="L61" s="427"/>
      <c r="M61" s="428"/>
    </row>
    <row r="62" spans="1:13">
      <c r="A62" s="92" t="s">
        <v>150</v>
      </c>
      <c r="B62" s="93"/>
      <c r="C62" s="429">
        <f>+FORMULARIO!C84</f>
        <v>0</v>
      </c>
      <c r="D62" s="429"/>
      <c r="E62" s="430"/>
      <c r="F62" s="149">
        <f>+IF(C62&gt;1,1,0)</f>
        <v>0</v>
      </c>
      <c r="G62" s="194"/>
      <c r="K62" s="149" t="s">
        <v>1482</v>
      </c>
      <c r="L62" s="149" t="s">
        <v>1671</v>
      </c>
      <c r="M62" s="149" t="s">
        <v>1473</v>
      </c>
    </row>
    <row r="63" spans="1:13">
      <c r="A63" s="322" t="s">
        <v>180</v>
      </c>
      <c r="B63" s="323"/>
      <c r="C63" s="429">
        <f>+FORMULARIO!C85</f>
        <v>0</v>
      </c>
      <c r="D63" s="429"/>
      <c r="E63" s="430"/>
      <c r="F63" s="149">
        <f t="shared" ref="F63:F65" si="3">+IF(C63&gt;1,1,0)</f>
        <v>0</v>
      </c>
      <c r="G63" s="194"/>
      <c r="K63" s="190">
        <f>SUM(F62:F65,F67:F70,F72:F75)</f>
        <v>0</v>
      </c>
      <c r="L63" s="195">
        <f>+K63/12</f>
        <v>0</v>
      </c>
      <c r="M63" s="196">
        <f>+L63*0.2</f>
        <v>0</v>
      </c>
    </row>
    <row r="64" spans="1:13">
      <c r="A64" s="322" t="s">
        <v>181</v>
      </c>
      <c r="B64" s="323"/>
      <c r="C64" s="429">
        <f>+FORMULARIO!C86</f>
        <v>0</v>
      </c>
      <c r="D64" s="429"/>
      <c r="E64" s="430"/>
      <c r="F64" s="149">
        <f t="shared" si="3"/>
        <v>0</v>
      </c>
      <c r="G64" s="194"/>
    </row>
    <row r="65" spans="1:13">
      <c r="A65" s="92" t="s">
        <v>1483</v>
      </c>
      <c r="B65" s="93"/>
      <c r="C65" s="429">
        <f>+FORMULARIO!C87</f>
        <v>0</v>
      </c>
      <c r="D65" s="429"/>
      <c r="E65" s="430"/>
      <c r="F65" s="149">
        <f t="shared" si="3"/>
        <v>0</v>
      </c>
      <c r="G65" s="194"/>
    </row>
    <row r="66" spans="1:13">
      <c r="A66" s="340" t="s">
        <v>136</v>
      </c>
      <c r="B66" s="341"/>
      <c r="C66" s="342"/>
      <c r="D66" s="342"/>
      <c r="E66" s="343"/>
      <c r="F66" s="183" t="s">
        <v>1670</v>
      </c>
      <c r="G66" s="193"/>
    </row>
    <row r="67" spans="1:13">
      <c r="A67" s="92" t="s">
        <v>1428</v>
      </c>
      <c r="B67" s="93"/>
      <c r="C67" s="429">
        <f>+FORMULARIO!C89</f>
        <v>0</v>
      </c>
      <c r="D67" s="429"/>
      <c r="E67" s="430"/>
      <c r="F67" s="149">
        <f t="shared" ref="F67:F75" si="4">+IF(C67&gt;1,1,0)</f>
        <v>0</v>
      </c>
      <c r="G67" s="194"/>
    </row>
    <row r="68" spans="1:13">
      <c r="A68" s="436" t="s">
        <v>1429</v>
      </c>
      <c r="B68" s="437"/>
      <c r="C68" s="429">
        <f>+FORMULARIO!C90</f>
        <v>0</v>
      </c>
      <c r="D68" s="429"/>
      <c r="E68" s="430"/>
      <c r="F68" s="149">
        <f t="shared" si="4"/>
        <v>0</v>
      </c>
      <c r="G68" s="194"/>
    </row>
    <row r="69" spans="1:13">
      <c r="A69" s="64" t="s">
        <v>110</v>
      </c>
      <c r="B69" s="92"/>
      <c r="C69" s="429">
        <f>+FORMULARIO!C91</f>
        <v>0</v>
      </c>
      <c r="D69" s="429"/>
      <c r="E69" s="430"/>
      <c r="F69" s="149">
        <f t="shared" si="4"/>
        <v>0</v>
      </c>
      <c r="G69" s="194"/>
    </row>
    <row r="70" spans="1:13">
      <c r="A70" s="197" t="s">
        <v>1483</v>
      </c>
      <c r="B70" s="92"/>
      <c r="C70" s="429">
        <f>+FORMULARIO!C92</f>
        <v>0</v>
      </c>
      <c r="D70" s="429"/>
      <c r="E70" s="430"/>
      <c r="F70" s="149">
        <f t="shared" si="4"/>
        <v>0</v>
      </c>
      <c r="G70" s="194"/>
    </row>
    <row r="71" spans="1:13">
      <c r="A71" s="340" t="s">
        <v>1484</v>
      </c>
      <c r="B71" s="341"/>
      <c r="C71" s="342"/>
      <c r="D71" s="342"/>
      <c r="E71" s="343"/>
      <c r="F71" s="183" t="s">
        <v>1670</v>
      </c>
      <c r="G71" s="193"/>
    </row>
    <row r="72" spans="1:13">
      <c r="A72" s="92" t="s">
        <v>1431</v>
      </c>
      <c r="B72" s="93"/>
      <c r="C72" s="429">
        <f>+FORMULARIO!C94</f>
        <v>0</v>
      </c>
      <c r="D72" s="429"/>
      <c r="E72" s="430"/>
      <c r="F72" s="149">
        <f t="shared" si="4"/>
        <v>0</v>
      </c>
      <c r="G72" s="194"/>
    </row>
    <row r="73" spans="1:13">
      <c r="A73" s="92" t="s">
        <v>1432</v>
      </c>
      <c r="B73" s="93"/>
      <c r="C73" s="429">
        <f>+FORMULARIO!C95</f>
        <v>0</v>
      </c>
      <c r="D73" s="429"/>
      <c r="E73" s="430"/>
      <c r="F73" s="149">
        <f t="shared" si="4"/>
        <v>0</v>
      </c>
      <c r="G73" s="194"/>
    </row>
    <row r="74" spans="1:13">
      <c r="A74" s="322" t="s">
        <v>182</v>
      </c>
      <c r="B74" s="323"/>
      <c r="C74" s="429">
        <f>+FORMULARIO!C96</f>
        <v>0</v>
      </c>
      <c r="D74" s="429"/>
      <c r="E74" s="430"/>
      <c r="F74" s="149">
        <f t="shared" si="4"/>
        <v>0</v>
      </c>
      <c r="G74" s="198"/>
    </row>
    <row r="75" spans="1:13">
      <c r="A75" s="92" t="s">
        <v>1483</v>
      </c>
      <c r="B75" s="93"/>
      <c r="C75" s="429">
        <f>+FORMULARIO!C97</f>
        <v>0</v>
      </c>
      <c r="D75" s="429"/>
      <c r="E75" s="430"/>
      <c r="F75" s="149">
        <f t="shared" si="4"/>
        <v>0</v>
      </c>
      <c r="G75" s="194"/>
    </row>
    <row r="76" spans="1:13">
      <c r="A76" s="440" t="s">
        <v>1352</v>
      </c>
      <c r="B76" s="403"/>
      <c r="C76" s="403"/>
      <c r="D76" s="403"/>
      <c r="E76" s="403"/>
      <c r="F76" s="403"/>
      <c r="G76" s="404"/>
    </row>
    <row r="77" spans="1:13">
      <c r="A77" s="441" t="s">
        <v>140</v>
      </c>
      <c r="B77" s="400"/>
      <c r="C77" s="400"/>
      <c r="D77" s="400"/>
      <c r="E77" s="400"/>
      <c r="F77" s="400"/>
      <c r="G77" s="401"/>
    </row>
    <row r="78" spans="1:13">
      <c r="A78" s="399" t="s">
        <v>1485</v>
      </c>
      <c r="B78" s="400"/>
      <c r="C78" s="401"/>
      <c r="D78" s="399" t="s">
        <v>1486</v>
      </c>
      <c r="E78" s="400"/>
      <c r="F78" s="400"/>
      <c r="G78" s="401"/>
      <c r="H78" s="438" t="s">
        <v>1670</v>
      </c>
      <c r="I78" s="439"/>
      <c r="K78" s="435" t="s">
        <v>1487</v>
      </c>
      <c r="L78" s="435"/>
      <c r="M78" s="435"/>
    </row>
    <row r="79" spans="1:13" s="43" customFormat="1" ht="27.75" customHeight="1">
      <c r="A79" s="115">
        <f>+FORMULARIO!A100</f>
        <v>0</v>
      </c>
      <c r="B79" s="397" t="s">
        <v>1332</v>
      </c>
      <c r="C79" s="398"/>
      <c r="D79" s="115">
        <f>+FORMULARIO!D100</f>
        <v>0</v>
      </c>
      <c r="E79" s="407" t="s">
        <v>153</v>
      </c>
      <c r="F79" s="408"/>
      <c r="G79" s="405"/>
      <c r="H79" s="149">
        <f>+IF(A79&gt;=1,1,0)</f>
        <v>0</v>
      </c>
      <c r="I79" s="149">
        <f>+IF(D79&gt;=1,1,0)</f>
        <v>0</v>
      </c>
      <c r="K79" s="149" t="s">
        <v>1482</v>
      </c>
      <c r="L79" s="149" t="s">
        <v>1469</v>
      </c>
      <c r="M79" s="149" t="s">
        <v>1673</v>
      </c>
    </row>
    <row r="80" spans="1:13" s="43" customFormat="1" ht="27.75" customHeight="1">
      <c r="A80" s="115">
        <f>+FORMULARIO!A101</f>
        <v>0</v>
      </c>
      <c r="B80" s="397" t="s">
        <v>1334</v>
      </c>
      <c r="C80" s="398"/>
      <c r="D80" s="115">
        <f>+FORMULARIO!D101</f>
        <v>0</v>
      </c>
      <c r="E80" s="407" t="s">
        <v>154</v>
      </c>
      <c r="F80" s="408"/>
      <c r="G80" s="405"/>
      <c r="H80" s="149">
        <f t="shared" ref="H80:H84" si="5">+IF(A80&gt;=1,1,0)</f>
        <v>0</v>
      </c>
      <c r="I80" s="149">
        <f>+IF(D80&gt;=1,1,0)</f>
        <v>0</v>
      </c>
      <c r="K80" s="199">
        <f>SUM(H79:I84)</f>
        <v>0</v>
      </c>
      <c r="L80" s="185">
        <f>+IF(FORMULARIO!I11&gt;1,Cumplimiento!$K$80/Cumplimiento!$L$82,Cumplimiento!$K$80/Cumplimiento!$L$83)</f>
        <v>0</v>
      </c>
      <c r="M80" s="185">
        <f>+L80*0.5</f>
        <v>0</v>
      </c>
    </row>
    <row r="81" spans="1:12" s="43" customFormat="1" ht="27.75" customHeight="1">
      <c r="A81" s="115">
        <f>+FORMULARIO!A102</f>
        <v>0</v>
      </c>
      <c r="B81" s="397" t="s">
        <v>1335</v>
      </c>
      <c r="C81" s="398"/>
      <c r="D81" s="115">
        <f>+FORMULARIO!D102</f>
        <v>0</v>
      </c>
      <c r="E81" s="407" t="s">
        <v>155</v>
      </c>
      <c r="F81" s="408"/>
      <c r="G81" s="405"/>
      <c r="H81" s="149">
        <f t="shared" si="5"/>
        <v>0</v>
      </c>
      <c r="I81" s="149">
        <f t="shared" ref="I81:I84" si="6">+IF(D81&gt;=1,1,0)</f>
        <v>0</v>
      </c>
    </row>
    <row r="82" spans="1:12" s="43" customFormat="1" ht="27.75" customHeight="1">
      <c r="A82" s="115">
        <f>+FORMULARIO!A103</f>
        <v>0</v>
      </c>
      <c r="B82" s="397" t="s">
        <v>1333</v>
      </c>
      <c r="C82" s="398"/>
      <c r="D82" s="115">
        <f>+FORMULARIO!D103</f>
        <v>0</v>
      </c>
      <c r="E82" s="407" t="s">
        <v>139</v>
      </c>
      <c r="F82" s="408"/>
      <c r="G82" s="405"/>
      <c r="H82" s="149">
        <f t="shared" si="5"/>
        <v>0</v>
      </c>
      <c r="I82" s="149">
        <f t="shared" si="6"/>
        <v>0</v>
      </c>
      <c r="L82" s="43">
        <v>13</v>
      </c>
    </row>
    <row r="83" spans="1:12" s="43" customFormat="1" ht="27.75" customHeight="1">
      <c r="A83" s="115">
        <f>+FORMULARIO!A104</f>
        <v>0</v>
      </c>
      <c r="B83" s="397" t="s">
        <v>151</v>
      </c>
      <c r="C83" s="398"/>
      <c r="D83" s="115">
        <f>+FORMULARIO!D104</f>
        <v>0</v>
      </c>
      <c r="E83" s="407" t="s">
        <v>132</v>
      </c>
      <c r="F83" s="408"/>
      <c r="G83" s="405"/>
      <c r="H83" s="149">
        <f t="shared" si="5"/>
        <v>0</v>
      </c>
      <c r="I83" s="149">
        <f t="shared" si="6"/>
        <v>0</v>
      </c>
      <c r="L83" s="43">
        <v>12</v>
      </c>
    </row>
    <row r="84" spans="1:12" s="43" customFormat="1" ht="27.75" customHeight="1">
      <c r="A84" s="115">
        <f>+FORMULARIO!A105</f>
        <v>0</v>
      </c>
      <c r="B84" s="397" t="s">
        <v>152</v>
      </c>
      <c r="C84" s="398"/>
      <c r="D84" s="115">
        <f>+FORMULARIO!D105</f>
        <v>0</v>
      </c>
      <c r="E84" s="407" t="s">
        <v>136</v>
      </c>
      <c r="F84" s="408"/>
      <c r="G84" s="405"/>
      <c r="H84" s="149">
        <f t="shared" si="5"/>
        <v>0</v>
      </c>
      <c r="I84" s="149">
        <f t="shared" si="6"/>
        <v>0</v>
      </c>
    </row>
    <row r="85" spans="1:12">
      <c r="A85" s="441" t="s">
        <v>1360</v>
      </c>
      <c r="B85" s="400"/>
      <c r="C85" s="400"/>
      <c r="D85" s="400"/>
      <c r="E85" s="400"/>
      <c r="F85" s="400"/>
      <c r="G85" s="401"/>
      <c r="H85" s="200"/>
    </row>
    <row r="86" spans="1:12" ht="24" customHeight="1">
      <c r="A86" s="115">
        <f>+FORMULARIO!A107</f>
        <v>0</v>
      </c>
      <c r="B86" s="397" t="s">
        <v>84</v>
      </c>
      <c r="C86" s="398"/>
      <c r="D86" s="115"/>
      <c r="E86" s="397"/>
      <c r="F86" s="415"/>
      <c r="G86" s="398"/>
      <c r="H86" s="149">
        <f>+IF(A86&gt;=1,1,0)</f>
        <v>0</v>
      </c>
    </row>
  </sheetData>
  <mergeCells count="130">
    <mergeCell ref="C22:E22"/>
    <mergeCell ref="C23:E23"/>
    <mergeCell ref="C24:E24"/>
    <mergeCell ref="C25:E25"/>
    <mergeCell ref="C26:E26"/>
    <mergeCell ref="C27:E27"/>
    <mergeCell ref="A31:E31"/>
    <mergeCell ref="A25:B25"/>
    <mergeCell ref="A26:B26"/>
    <mergeCell ref="A27:B27"/>
    <mergeCell ref="C28:E28"/>
    <mergeCell ref="C29:E29"/>
    <mergeCell ref="C30:E30"/>
    <mergeCell ref="C33:E33"/>
    <mergeCell ref="C34:E34"/>
    <mergeCell ref="C37:E37"/>
    <mergeCell ref="A85:G85"/>
    <mergeCell ref="B86:C86"/>
    <mergeCell ref="E86:G86"/>
    <mergeCell ref="B84:C84"/>
    <mergeCell ref="E84:G84"/>
    <mergeCell ref="A53:E54"/>
    <mergeCell ref="A55:B55"/>
    <mergeCell ref="C55:G55"/>
    <mergeCell ref="A42:E43"/>
    <mergeCell ref="A44:G44"/>
    <mergeCell ref="A45:E46"/>
    <mergeCell ref="A47:G47"/>
    <mergeCell ref="A48:B48"/>
    <mergeCell ref="C48:G48"/>
    <mergeCell ref="C38:E38"/>
    <mergeCell ref="A15:B15"/>
    <mergeCell ref="A16:B16"/>
    <mergeCell ref="A17:B17"/>
    <mergeCell ref="A18:B18"/>
    <mergeCell ref="B82:C82"/>
    <mergeCell ref="E82:G82"/>
    <mergeCell ref="B83:C83"/>
    <mergeCell ref="E83:G83"/>
    <mergeCell ref="B79:C79"/>
    <mergeCell ref="E79:G79"/>
    <mergeCell ref="B80:C80"/>
    <mergeCell ref="E80:G80"/>
    <mergeCell ref="B81:C81"/>
    <mergeCell ref="E81:G81"/>
    <mergeCell ref="C75:E75"/>
    <mergeCell ref="A76:G76"/>
    <mergeCell ref="A77:G77"/>
    <mergeCell ref="A78:C78"/>
    <mergeCell ref="D78:G78"/>
    <mergeCell ref="A61:E61"/>
    <mergeCell ref="A49:G49"/>
    <mergeCell ref="A50:E51"/>
    <mergeCell ref="A52:G52"/>
    <mergeCell ref="C39:E39"/>
    <mergeCell ref="K78:M78"/>
    <mergeCell ref="C70:E70"/>
    <mergeCell ref="A71:E71"/>
    <mergeCell ref="C72:E72"/>
    <mergeCell ref="C73:E73"/>
    <mergeCell ref="A74:B74"/>
    <mergeCell ref="C74:E74"/>
    <mergeCell ref="C65:E65"/>
    <mergeCell ref="A66:E66"/>
    <mergeCell ref="C67:E67"/>
    <mergeCell ref="A68:B68"/>
    <mergeCell ref="C68:E68"/>
    <mergeCell ref="C69:E69"/>
    <mergeCell ref="H78:I78"/>
    <mergeCell ref="K61:M61"/>
    <mergeCell ref="C62:E62"/>
    <mergeCell ref="A63:B63"/>
    <mergeCell ref="C63:E63"/>
    <mergeCell ref="A64:B64"/>
    <mergeCell ref="C64:E64"/>
    <mergeCell ref="A56:G56"/>
    <mergeCell ref="A57:B58"/>
    <mergeCell ref="D57:E57"/>
    <mergeCell ref="D58:E58"/>
    <mergeCell ref="A59:B60"/>
    <mergeCell ref="D59:E59"/>
    <mergeCell ref="D60:E60"/>
    <mergeCell ref="A12:B12"/>
    <mergeCell ref="A13:B13"/>
    <mergeCell ref="A19:B19"/>
    <mergeCell ref="A20:B20"/>
    <mergeCell ref="A21:B21"/>
    <mergeCell ref="A41:G41"/>
    <mergeCell ref="K41:M41"/>
    <mergeCell ref="A39:B39"/>
    <mergeCell ref="A36:B36"/>
    <mergeCell ref="A37:B37"/>
    <mergeCell ref="A38:B38"/>
    <mergeCell ref="A33:B33"/>
    <mergeCell ref="A34:B34"/>
    <mergeCell ref="A35:B35"/>
    <mergeCell ref="C35:E35"/>
    <mergeCell ref="C36:E36"/>
    <mergeCell ref="C12:E12"/>
    <mergeCell ref="C13:E13"/>
    <mergeCell ref="C14:E14"/>
    <mergeCell ref="C15:E15"/>
    <mergeCell ref="A22:B22"/>
    <mergeCell ref="A23:B23"/>
    <mergeCell ref="C16:E16"/>
    <mergeCell ref="A14:B14"/>
    <mergeCell ref="K1:M1"/>
    <mergeCell ref="K2:M2"/>
    <mergeCell ref="A7:E7"/>
    <mergeCell ref="K7:M7"/>
    <mergeCell ref="A8:B8"/>
    <mergeCell ref="C8:E8"/>
    <mergeCell ref="K31:M31"/>
    <mergeCell ref="A32:B32"/>
    <mergeCell ref="C32:E32"/>
    <mergeCell ref="C9:E9"/>
    <mergeCell ref="C10:E10"/>
    <mergeCell ref="C11:E11"/>
    <mergeCell ref="A9:B9"/>
    <mergeCell ref="A10:B10"/>
    <mergeCell ref="A11:B11"/>
    <mergeCell ref="C17:E17"/>
    <mergeCell ref="C18:E18"/>
    <mergeCell ref="C19:E19"/>
    <mergeCell ref="C20:E20"/>
    <mergeCell ref="C21:E21"/>
    <mergeCell ref="A28:B28"/>
    <mergeCell ref="A29:B29"/>
    <mergeCell ref="A30:B30"/>
    <mergeCell ref="A24:B24"/>
  </mergeCells>
  <conditionalFormatting sqref="G42:G43">
    <cfRule type="iconSet" priority="14">
      <iconSet iconSet="3Symbols2" showValue="0">
        <cfvo type="percent" val="0"/>
        <cfvo type="num" val="1"/>
        <cfvo type="num" val="1"/>
      </iconSet>
    </cfRule>
  </conditionalFormatting>
  <conditionalFormatting sqref="C58">
    <cfRule type="iconSet" priority="15">
      <iconSet iconSet="3Symbols2" showValue="0">
        <cfvo type="percent" val="0"/>
        <cfvo type="num" val="1"/>
        <cfvo type="num" val="1"/>
      </iconSet>
    </cfRule>
  </conditionalFormatting>
  <conditionalFormatting sqref="C60 F60:G60">
    <cfRule type="iconSet" priority="10">
      <iconSet iconSet="3Symbols2" showValue="0">
        <cfvo type="percent" val="0"/>
        <cfvo type="num" val="1"/>
        <cfvo type="num" val="1"/>
      </iconSet>
    </cfRule>
  </conditionalFormatting>
  <conditionalFormatting sqref="D60">
    <cfRule type="iconSet" priority="9">
      <iconSet iconSet="3Symbols2" showValue="0">
        <cfvo type="percent" val="0"/>
        <cfvo type="num" val="1"/>
        <cfvo type="num" val="1"/>
      </iconSet>
    </cfRule>
  </conditionalFormatting>
  <conditionalFormatting sqref="A86">
    <cfRule type="iconSet" priority="6">
      <iconSet iconSet="3Symbols2" showValue="0">
        <cfvo type="percent" val="0"/>
        <cfvo type="num" val="1"/>
        <cfvo type="num" val="1"/>
      </iconSet>
    </cfRule>
  </conditionalFormatting>
  <conditionalFormatting sqref="D86">
    <cfRule type="iconSet" priority="5">
      <iconSet iconSet="3Symbols2" showValue="0">
        <cfvo type="percent" val="0"/>
        <cfvo type="num" val="1"/>
        <cfvo type="num" val="1"/>
      </iconSet>
    </cfRule>
  </conditionalFormatting>
  <conditionalFormatting sqref="D58 F58:G58">
    <cfRule type="iconSet" priority="4">
      <iconSet iconSet="3Symbols2" showValue="0">
        <cfvo type="percent" val="0"/>
        <cfvo type="num" val="1"/>
        <cfvo type="num" val="1"/>
      </iconSet>
    </cfRule>
  </conditionalFormatting>
  <conditionalFormatting sqref="G45:G46">
    <cfRule type="iconSet" priority="3">
      <iconSet iconSet="3Symbols2" showValue="0">
        <cfvo type="percent" val="0"/>
        <cfvo type="num" val="1"/>
        <cfvo type="num" val="1"/>
      </iconSet>
    </cfRule>
  </conditionalFormatting>
  <conditionalFormatting sqref="G50:G51">
    <cfRule type="iconSet" priority="2">
      <iconSet iconSet="3Symbols2" showValue="0">
        <cfvo type="percent" val="0"/>
        <cfvo type="num" val="1"/>
        <cfvo type="num" val="1"/>
      </iconSet>
    </cfRule>
  </conditionalFormatting>
  <conditionalFormatting sqref="G53:G54">
    <cfRule type="iconSet" priority="1">
      <iconSet iconSet="3Symbols2" showValue="0">
        <cfvo type="percent" val="0"/>
        <cfvo type="num" val="1"/>
        <cfvo type="num" val="1"/>
      </iconSet>
    </cfRule>
  </conditionalFormatting>
  <conditionalFormatting sqref="A79:A84">
    <cfRule type="iconSet" priority="76">
      <iconSet iconSet="3Symbols2" showValue="0">
        <cfvo type="percent" val="0"/>
        <cfvo type="num" val="1"/>
        <cfvo type="num" val="1"/>
      </iconSet>
    </cfRule>
  </conditionalFormatting>
  <conditionalFormatting sqref="D79:D84">
    <cfRule type="iconSet" priority="77">
      <iconSet iconSet="3Symbols2" showValue="0">
        <cfvo type="percent" val="0"/>
        <cfvo type="num" val="1"/>
        <cfvo type="num" val="1"/>
      </iconSet>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390"/>
  <sheetViews>
    <sheetView showZeros="0" workbookViewId="0">
      <pane xSplit="1" ySplit="1" topLeftCell="B179" activePane="bottomRight" state="frozen"/>
      <selection pane="topRight" activeCell="B1" sqref="B1"/>
      <selection pane="bottomLeft" activeCell="A2" sqref="A2"/>
      <selection pane="bottomRight" activeCell="A2" sqref="A2"/>
    </sheetView>
  </sheetViews>
  <sheetFormatPr baseColWidth="10" defaultColWidth="9.140625" defaultRowHeight="15"/>
  <cols>
    <col min="1" max="1" width="35.28515625" customWidth="1" collapsed="1"/>
    <col min="2" max="2" width="9.140625" style="96" collapsed="1"/>
    <col min="3" max="3" width="12" style="96" customWidth="1" collapsed="1"/>
    <col min="4" max="4" width="13.85546875" style="96" customWidth="1" collapsed="1"/>
    <col min="5" max="5" width="9.140625" style="96" collapsed="1"/>
    <col min="6" max="6" width="11" style="96" customWidth="1" collapsed="1"/>
    <col min="7" max="7" width="11.5703125" style="96" customWidth="1" collapsed="1"/>
    <col min="8" max="8" width="9.140625" style="65" collapsed="1"/>
    <col min="9" max="9" width="10.140625" style="6" hidden="1" customWidth="1" collapsed="1"/>
    <col min="10" max="10" width="0" style="96" hidden="1" customWidth="1" collapsed="1"/>
  </cols>
  <sheetData>
    <row r="1" spans="1:10" s="202" customFormat="1" ht="30">
      <c r="A1" s="201" t="s">
        <v>1488</v>
      </c>
      <c r="B1" s="201" t="s">
        <v>1489</v>
      </c>
      <c r="C1" s="201" t="s">
        <v>1490</v>
      </c>
      <c r="D1" s="201" t="s">
        <v>1491</v>
      </c>
      <c r="E1" s="201" t="s">
        <v>1492</v>
      </c>
      <c r="F1" s="201" t="s">
        <v>1493</v>
      </c>
      <c r="G1" s="201" t="s">
        <v>1494</v>
      </c>
      <c r="H1" s="201" t="s">
        <v>75</v>
      </c>
      <c r="I1" s="201" t="s">
        <v>1495</v>
      </c>
      <c r="J1" s="201" t="s">
        <v>1496</v>
      </c>
    </row>
    <row r="2" spans="1:10">
      <c r="A2" t="s">
        <v>1497</v>
      </c>
      <c r="B2" s="96">
        <v>1</v>
      </c>
      <c r="C2" s="96">
        <v>1</v>
      </c>
      <c r="D2" s="96">
        <v>1</v>
      </c>
      <c r="F2" s="96">
        <v>1</v>
      </c>
      <c r="H2" s="65">
        <f t="shared" ref="H2:H65" si="0">SUM(B2:G2)</f>
        <v>4</v>
      </c>
      <c r="I2" s="203">
        <f>+H2/8</f>
        <v>0.5</v>
      </c>
      <c r="J2" s="96">
        <f>+IF(H2=6,6,IF(H2=5,5,IF(H2=4,4,IF(H2=3,3,IF(H2=2,2,IF(H2=1,1,""))))))</f>
        <v>4</v>
      </c>
    </row>
    <row r="3" spans="1:10">
      <c r="A3" t="s">
        <v>1498</v>
      </c>
      <c r="F3" s="96">
        <v>1</v>
      </c>
      <c r="H3" s="65">
        <f t="shared" si="0"/>
        <v>1</v>
      </c>
      <c r="I3" s="203">
        <f t="shared" ref="I3:I66" si="1">+H3/8</f>
        <v>0.125</v>
      </c>
      <c r="J3" s="96">
        <f t="shared" ref="J3:J66" si="2">+IF(H3=6,6,IF(H3=5,5,IF(H3=4,4,IF(H3=3,3,IF(H3=2,2,IF(H3=1,1,""))))))</f>
        <v>1</v>
      </c>
    </row>
    <row r="4" spans="1:10">
      <c r="A4" t="s">
        <v>1499</v>
      </c>
      <c r="H4" s="65">
        <f t="shared" si="0"/>
        <v>0</v>
      </c>
      <c r="I4" s="203">
        <f t="shared" si="1"/>
        <v>0</v>
      </c>
      <c r="J4" s="96" t="str">
        <f t="shared" si="2"/>
        <v/>
      </c>
    </row>
    <row r="5" spans="1:10">
      <c r="A5" t="s">
        <v>1500</v>
      </c>
      <c r="H5" s="65">
        <f t="shared" si="0"/>
        <v>0</v>
      </c>
      <c r="I5" s="203">
        <f t="shared" si="1"/>
        <v>0</v>
      </c>
      <c r="J5" s="96" t="str">
        <f t="shared" si="2"/>
        <v/>
      </c>
    </row>
    <row r="6" spans="1:10">
      <c r="A6" t="s">
        <v>1501</v>
      </c>
      <c r="H6" s="65">
        <f t="shared" si="0"/>
        <v>0</v>
      </c>
      <c r="I6" s="203">
        <f t="shared" si="1"/>
        <v>0</v>
      </c>
      <c r="J6" s="96" t="str">
        <f t="shared" si="2"/>
        <v/>
      </c>
    </row>
    <row r="7" spans="1:10">
      <c r="A7" t="s">
        <v>1502</v>
      </c>
      <c r="H7" s="65">
        <f t="shared" si="0"/>
        <v>0</v>
      </c>
      <c r="I7" s="203">
        <f t="shared" si="1"/>
        <v>0</v>
      </c>
      <c r="J7" s="96" t="str">
        <f t="shared" si="2"/>
        <v/>
      </c>
    </row>
    <row r="8" spans="1:10">
      <c r="A8" t="s">
        <v>1503</v>
      </c>
      <c r="H8" s="65">
        <f t="shared" si="0"/>
        <v>0</v>
      </c>
      <c r="I8" s="203">
        <f t="shared" si="1"/>
        <v>0</v>
      </c>
      <c r="J8" s="96" t="str">
        <f t="shared" si="2"/>
        <v/>
      </c>
    </row>
    <row r="9" spans="1:10">
      <c r="A9" t="s">
        <v>532</v>
      </c>
      <c r="F9" s="96">
        <v>1</v>
      </c>
      <c r="H9" s="65">
        <f t="shared" si="0"/>
        <v>1</v>
      </c>
      <c r="I9" s="203">
        <f t="shared" si="1"/>
        <v>0.125</v>
      </c>
      <c r="J9" s="96">
        <f t="shared" si="2"/>
        <v>1</v>
      </c>
    </row>
    <row r="10" spans="1:10">
      <c r="A10" t="s">
        <v>533</v>
      </c>
      <c r="F10" s="96">
        <v>1</v>
      </c>
      <c r="H10" s="65">
        <f t="shared" si="0"/>
        <v>1</v>
      </c>
      <c r="I10" s="203">
        <f t="shared" si="1"/>
        <v>0.125</v>
      </c>
      <c r="J10" s="96">
        <f t="shared" si="2"/>
        <v>1</v>
      </c>
    </row>
    <row r="11" spans="1:10">
      <c r="A11" t="s">
        <v>1504</v>
      </c>
      <c r="H11" s="65">
        <f t="shared" si="0"/>
        <v>0</v>
      </c>
      <c r="I11" s="203">
        <f t="shared" si="1"/>
        <v>0</v>
      </c>
      <c r="J11" s="96" t="str">
        <f t="shared" si="2"/>
        <v/>
      </c>
    </row>
    <row r="12" spans="1:10">
      <c r="A12" t="s">
        <v>1505</v>
      </c>
      <c r="H12" s="65">
        <f t="shared" si="0"/>
        <v>0</v>
      </c>
      <c r="I12" s="203">
        <f t="shared" si="1"/>
        <v>0</v>
      </c>
      <c r="J12" s="96" t="str">
        <f t="shared" si="2"/>
        <v/>
      </c>
    </row>
    <row r="13" spans="1:10">
      <c r="A13" t="s">
        <v>1506</v>
      </c>
      <c r="H13" s="65">
        <f t="shared" si="0"/>
        <v>0</v>
      </c>
      <c r="I13" s="203">
        <f t="shared" si="1"/>
        <v>0</v>
      </c>
      <c r="J13" s="96" t="str">
        <f t="shared" si="2"/>
        <v/>
      </c>
    </row>
    <row r="14" spans="1:10">
      <c r="A14" t="s">
        <v>1507</v>
      </c>
      <c r="H14" s="65">
        <f t="shared" si="0"/>
        <v>0</v>
      </c>
      <c r="I14" s="203">
        <f t="shared" si="1"/>
        <v>0</v>
      </c>
      <c r="J14" s="96" t="str">
        <f t="shared" si="2"/>
        <v/>
      </c>
    </row>
    <row r="15" spans="1:10">
      <c r="A15" t="s">
        <v>1508</v>
      </c>
      <c r="E15" s="96">
        <v>1</v>
      </c>
      <c r="H15" s="65">
        <f t="shared" si="0"/>
        <v>1</v>
      </c>
      <c r="I15" s="203">
        <f t="shared" si="1"/>
        <v>0.125</v>
      </c>
      <c r="J15" s="96">
        <f t="shared" si="2"/>
        <v>1</v>
      </c>
    </row>
    <row r="16" spans="1:10">
      <c r="A16" t="s">
        <v>1509</v>
      </c>
      <c r="H16" s="65">
        <f t="shared" si="0"/>
        <v>0</v>
      </c>
      <c r="I16" s="203">
        <f t="shared" si="1"/>
        <v>0</v>
      </c>
      <c r="J16" s="96" t="str">
        <f t="shared" si="2"/>
        <v/>
      </c>
    </row>
    <row r="17" spans="1:10">
      <c r="A17" t="s">
        <v>1510</v>
      </c>
      <c r="H17" s="65">
        <f t="shared" si="0"/>
        <v>0</v>
      </c>
      <c r="I17" s="203">
        <f t="shared" si="1"/>
        <v>0</v>
      </c>
      <c r="J17" s="96" t="str">
        <f t="shared" si="2"/>
        <v/>
      </c>
    </row>
    <row r="18" spans="1:10">
      <c r="A18" t="s">
        <v>1511</v>
      </c>
      <c r="H18" s="65">
        <f t="shared" si="0"/>
        <v>0</v>
      </c>
      <c r="I18" s="203">
        <f t="shared" si="1"/>
        <v>0</v>
      </c>
      <c r="J18" s="96" t="str">
        <f t="shared" si="2"/>
        <v/>
      </c>
    </row>
    <row r="19" spans="1:10">
      <c r="A19" t="s">
        <v>1512</v>
      </c>
      <c r="H19" s="65">
        <f t="shared" si="0"/>
        <v>0</v>
      </c>
      <c r="I19" s="203">
        <f t="shared" si="1"/>
        <v>0</v>
      </c>
      <c r="J19" s="96" t="str">
        <f t="shared" si="2"/>
        <v/>
      </c>
    </row>
    <row r="20" spans="1:10">
      <c r="A20" t="s">
        <v>1513</v>
      </c>
      <c r="H20" s="65">
        <f t="shared" si="0"/>
        <v>0</v>
      </c>
      <c r="I20" s="203">
        <f t="shared" si="1"/>
        <v>0</v>
      </c>
      <c r="J20" s="96" t="str">
        <f t="shared" si="2"/>
        <v/>
      </c>
    </row>
    <row r="21" spans="1:10">
      <c r="A21" t="s">
        <v>1514</v>
      </c>
      <c r="H21" s="65">
        <f t="shared" si="0"/>
        <v>0</v>
      </c>
      <c r="I21" s="203">
        <f t="shared" si="1"/>
        <v>0</v>
      </c>
      <c r="J21" s="96" t="str">
        <f t="shared" si="2"/>
        <v/>
      </c>
    </row>
    <row r="22" spans="1:10">
      <c r="A22" t="s">
        <v>1515</v>
      </c>
      <c r="F22" s="96">
        <v>1</v>
      </c>
      <c r="H22" s="65">
        <f t="shared" si="0"/>
        <v>1</v>
      </c>
      <c r="I22" s="203">
        <f t="shared" si="1"/>
        <v>0.125</v>
      </c>
      <c r="J22" s="96">
        <f t="shared" si="2"/>
        <v>1</v>
      </c>
    </row>
    <row r="23" spans="1:10">
      <c r="A23" t="s">
        <v>1516</v>
      </c>
      <c r="C23" s="96">
        <v>1</v>
      </c>
      <c r="D23" s="96">
        <v>1</v>
      </c>
      <c r="E23" s="96">
        <v>1</v>
      </c>
      <c r="F23" s="96">
        <v>1</v>
      </c>
      <c r="H23" s="65">
        <f t="shared" si="0"/>
        <v>4</v>
      </c>
      <c r="I23" s="203">
        <f t="shared" si="1"/>
        <v>0.5</v>
      </c>
      <c r="J23" s="96">
        <f t="shared" si="2"/>
        <v>4</v>
      </c>
    </row>
    <row r="24" spans="1:10">
      <c r="A24" t="s">
        <v>1517</v>
      </c>
      <c r="B24" s="96">
        <v>1</v>
      </c>
      <c r="F24" s="96">
        <v>1</v>
      </c>
      <c r="H24" s="65">
        <f t="shared" si="0"/>
        <v>2</v>
      </c>
      <c r="I24" s="203">
        <f t="shared" si="1"/>
        <v>0.25</v>
      </c>
      <c r="J24" s="96">
        <f t="shared" si="2"/>
        <v>2</v>
      </c>
    </row>
    <row r="25" spans="1:10">
      <c r="A25" t="s">
        <v>1518</v>
      </c>
      <c r="H25" s="65">
        <f t="shared" si="0"/>
        <v>0</v>
      </c>
      <c r="I25" s="203">
        <f t="shared" si="1"/>
        <v>0</v>
      </c>
      <c r="J25" s="96" t="str">
        <f t="shared" si="2"/>
        <v/>
      </c>
    </row>
    <row r="26" spans="1:10">
      <c r="A26" t="s">
        <v>1519</v>
      </c>
      <c r="D26" s="96">
        <v>1</v>
      </c>
      <c r="E26" s="96">
        <v>1</v>
      </c>
      <c r="F26" s="96">
        <v>1</v>
      </c>
      <c r="H26" s="65">
        <f t="shared" si="0"/>
        <v>3</v>
      </c>
      <c r="I26" s="203">
        <f t="shared" si="1"/>
        <v>0.375</v>
      </c>
      <c r="J26" s="96">
        <f t="shared" si="2"/>
        <v>3</v>
      </c>
    </row>
    <row r="27" spans="1:10">
      <c r="A27" t="s">
        <v>1520</v>
      </c>
      <c r="H27" s="65">
        <f t="shared" si="0"/>
        <v>0</v>
      </c>
      <c r="I27" s="203">
        <f t="shared" si="1"/>
        <v>0</v>
      </c>
      <c r="J27" s="96" t="str">
        <f t="shared" si="2"/>
        <v/>
      </c>
    </row>
    <row r="28" spans="1:10">
      <c r="A28" t="s">
        <v>1521</v>
      </c>
      <c r="C28" s="96">
        <v>1</v>
      </c>
      <c r="D28" s="96">
        <v>1</v>
      </c>
      <c r="E28" s="96">
        <v>1</v>
      </c>
      <c r="F28" s="96">
        <v>1</v>
      </c>
      <c r="H28" s="65">
        <f t="shared" si="0"/>
        <v>4</v>
      </c>
      <c r="I28" s="203">
        <f t="shared" si="1"/>
        <v>0.5</v>
      </c>
      <c r="J28" s="96">
        <f t="shared" si="2"/>
        <v>4</v>
      </c>
    </row>
    <row r="29" spans="1:10">
      <c r="A29" t="s">
        <v>1522</v>
      </c>
      <c r="H29" s="65">
        <f t="shared" si="0"/>
        <v>0</v>
      </c>
      <c r="I29" s="203">
        <f t="shared" si="1"/>
        <v>0</v>
      </c>
      <c r="J29" s="96" t="str">
        <f t="shared" si="2"/>
        <v/>
      </c>
    </row>
    <row r="30" spans="1:10">
      <c r="A30" t="s">
        <v>1523</v>
      </c>
      <c r="F30" s="96">
        <v>1</v>
      </c>
      <c r="H30" s="65">
        <f t="shared" si="0"/>
        <v>1</v>
      </c>
      <c r="I30" s="203">
        <f t="shared" si="1"/>
        <v>0.125</v>
      </c>
      <c r="J30" s="96">
        <f t="shared" si="2"/>
        <v>1</v>
      </c>
    </row>
    <row r="31" spans="1:10">
      <c r="A31" t="s">
        <v>1524</v>
      </c>
      <c r="H31" s="65">
        <f t="shared" si="0"/>
        <v>0</v>
      </c>
      <c r="I31" s="203">
        <f t="shared" si="1"/>
        <v>0</v>
      </c>
      <c r="J31" s="96" t="str">
        <f t="shared" si="2"/>
        <v/>
      </c>
    </row>
    <row r="32" spans="1:10">
      <c r="A32" t="s">
        <v>1525</v>
      </c>
      <c r="H32" s="65">
        <f t="shared" si="0"/>
        <v>0</v>
      </c>
      <c r="I32" s="203">
        <f t="shared" si="1"/>
        <v>0</v>
      </c>
      <c r="J32" s="96" t="str">
        <f t="shared" si="2"/>
        <v/>
      </c>
    </row>
    <row r="33" spans="1:10">
      <c r="A33" t="s">
        <v>1526</v>
      </c>
      <c r="F33" s="96">
        <v>1</v>
      </c>
      <c r="H33" s="65">
        <f t="shared" si="0"/>
        <v>1</v>
      </c>
      <c r="I33" s="203">
        <f t="shared" si="1"/>
        <v>0.125</v>
      </c>
      <c r="J33" s="96">
        <f t="shared" si="2"/>
        <v>1</v>
      </c>
    </row>
    <row r="34" spans="1:10">
      <c r="A34" t="s">
        <v>1527</v>
      </c>
      <c r="H34" s="65">
        <f t="shared" si="0"/>
        <v>0</v>
      </c>
      <c r="I34" s="203">
        <f t="shared" si="1"/>
        <v>0</v>
      </c>
      <c r="J34" s="96" t="str">
        <f t="shared" si="2"/>
        <v/>
      </c>
    </row>
    <row r="35" spans="1:10">
      <c r="A35" t="s">
        <v>1528</v>
      </c>
      <c r="H35" s="65">
        <f t="shared" si="0"/>
        <v>0</v>
      </c>
      <c r="I35" s="203">
        <f t="shared" si="1"/>
        <v>0</v>
      </c>
      <c r="J35" s="96" t="str">
        <f t="shared" si="2"/>
        <v/>
      </c>
    </row>
    <row r="36" spans="1:10">
      <c r="A36" t="s">
        <v>1529</v>
      </c>
      <c r="E36" s="96">
        <v>1</v>
      </c>
      <c r="H36" s="65">
        <f t="shared" si="0"/>
        <v>1</v>
      </c>
      <c r="I36" s="203">
        <f t="shared" si="1"/>
        <v>0.125</v>
      </c>
      <c r="J36" s="96">
        <f t="shared" si="2"/>
        <v>1</v>
      </c>
    </row>
    <row r="37" spans="1:10">
      <c r="A37" t="s">
        <v>1530</v>
      </c>
      <c r="E37" s="96">
        <v>1</v>
      </c>
      <c r="H37" s="65">
        <f t="shared" si="0"/>
        <v>1</v>
      </c>
      <c r="I37" s="203">
        <f t="shared" si="1"/>
        <v>0.125</v>
      </c>
      <c r="J37" s="96">
        <f t="shared" si="2"/>
        <v>1</v>
      </c>
    </row>
    <row r="38" spans="1:10">
      <c r="A38" t="s">
        <v>1531</v>
      </c>
      <c r="H38" s="65">
        <f t="shared" si="0"/>
        <v>0</v>
      </c>
      <c r="I38" s="203">
        <f t="shared" si="1"/>
        <v>0</v>
      </c>
      <c r="J38" s="96" t="str">
        <f t="shared" si="2"/>
        <v/>
      </c>
    </row>
    <row r="39" spans="1:10">
      <c r="A39" t="s">
        <v>1532</v>
      </c>
      <c r="F39" s="96">
        <v>1</v>
      </c>
      <c r="H39" s="65">
        <f t="shared" si="0"/>
        <v>1</v>
      </c>
      <c r="I39" s="203">
        <f t="shared" si="1"/>
        <v>0.125</v>
      </c>
      <c r="J39" s="96">
        <f t="shared" si="2"/>
        <v>1</v>
      </c>
    </row>
    <row r="40" spans="1:10">
      <c r="A40" t="s">
        <v>1533</v>
      </c>
      <c r="F40" s="96">
        <v>1</v>
      </c>
      <c r="H40" s="65">
        <f t="shared" si="0"/>
        <v>1</v>
      </c>
      <c r="I40" s="203">
        <f t="shared" si="1"/>
        <v>0.125</v>
      </c>
      <c r="J40" s="96">
        <f t="shared" si="2"/>
        <v>1</v>
      </c>
    </row>
    <row r="41" spans="1:10">
      <c r="A41" t="s">
        <v>1534</v>
      </c>
      <c r="H41" s="65">
        <f t="shared" si="0"/>
        <v>0</v>
      </c>
      <c r="I41" s="203">
        <f t="shared" si="1"/>
        <v>0</v>
      </c>
      <c r="J41" s="96" t="str">
        <f t="shared" si="2"/>
        <v/>
      </c>
    </row>
    <row r="42" spans="1:10">
      <c r="A42" t="s">
        <v>562</v>
      </c>
      <c r="E42" s="96">
        <v>1</v>
      </c>
      <c r="H42" s="65">
        <f t="shared" si="0"/>
        <v>1</v>
      </c>
      <c r="I42" s="203">
        <f t="shared" si="1"/>
        <v>0.125</v>
      </c>
      <c r="J42" s="96">
        <f t="shared" si="2"/>
        <v>1</v>
      </c>
    </row>
    <row r="43" spans="1:10">
      <c r="A43" t="s">
        <v>1535</v>
      </c>
      <c r="F43" s="96">
        <v>1</v>
      </c>
      <c r="H43" s="65">
        <f t="shared" si="0"/>
        <v>1</v>
      </c>
      <c r="I43" s="203">
        <f t="shared" si="1"/>
        <v>0.125</v>
      </c>
      <c r="J43" s="96">
        <f t="shared" si="2"/>
        <v>1</v>
      </c>
    </row>
    <row r="44" spans="1:10">
      <c r="A44" t="s">
        <v>1536</v>
      </c>
      <c r="C44" s="96">
        <v>1</v>
      </c>
      <c r="D44" s="96">
        <v>1</v>
      </c>
      <c r="F44" s="96">
        <v>1</v>
      </c>
      <c r="H44" s="65">
        <f t="shared" si="0"/>
        <v>3</v>
      </c>
      <c r="I44" s="203">
        <f t="shared" si="1"/>
        <v>0.375</v>
      </c>
      <c r="J44" s="96">
        <f t="shared" si="2"/>
        <v>3</v>
      </c>
    </row>
    <row r="45" spans="1:10">
      <c r="A45" t="s">
        <v>1537</v>
      </c>
      <c r="H45" s="65">
        <f t="shared" si="0"/>
        <v>0</v>
      </c>
      <c r="I45" s="203">
        <f t="shared" si="1"/>
        <v>0</v>
      </c>
      <c r="J45" s="96" t="str">
        <f t="shared" si="2"/>
        <v/>
      </c>
    </row>
    <row r="46" spans="1:10">
      <c r="A46" t="s">
        <v>1538</v>
      </c>
      <c r="F46" s="96">
        <v>1</v>
      </c>
      <c r="H46" s="65">
        <f t="shared" si="0"/>
        <v>1</v>
      </c>
      <c r="I46" s="203">
        <f t="shared" si="1"/>
        <v>0.125</v>
      </c>
      <c r="J46" s="96">
        <f t="shared" si="2"/>
        <v>1</v>
      </c>
    </row>
    <row r="47" spans="1:10">
      <c r="A47" t="s">
        <v>1539</v>
      </c>
      <c r="D47" s="96">
        <v>1</v>
      </c>
      <c r="E47" s="96">
        <v>1</v>
      </c>
      <c r="F47" s="96">
        <v>1</v>
      </c>
      <c r="H47" s="65">
        <f t="shared" si="0"/>
        <v>3</v>
      </c>
      <c r="I47" s="203">
        <f t="shared" si="1"/>
        <v>0.375</v>
      </c>
      <c r="J47" s="96">
        <f t="shared" si="2"/>
        <v>3</v>
      </c>
    </row>
    <row r="48" spans="1:10">
      <c r="A48" t="s">
        <v>1540</v>
      </c>
      <c r="F48" s="96">
        <v>1</v>
      </c>
      <c r="H48" s="65">
        <f t="shared" si="0"/>
        <v>1</v>
      </c>
      <c r="I48" s="203">
        <f t="shared" si="1"/>
        <v>0.125</v>
      </c>
      <c r="J48" s="96">
        <f t="shared" si="2"/>
        <v>1</v>
      </c>
    </row>
    <row r="49" spans="1:10">
      <c r="A49" t="s">
        <v>1541</v>
      </c>
      <c r="H49" s="65">
        <f t="shared" si="0"/>
        <v>0</v>
      </c>
      <c r="I49" s="203">
        <f t="shared" si="1"/>
        <v>0</v>
      </c>
      <c r="J49" s="96" t="str">
        <f t="shared" si="2"/>
        <v/>
      </c>
    </row>
    <row r="50" spans="1:10">
      <c r="A50" t="s">
        <v>1542</v>
      </c>
      <c r="H50" s="65">
        <f t="shared" si="0"/>
        <v>0</v>
      </c>
      <c r="I50" s="203">
        <f t="shared" si="1"/>
        <v>0</v>
      </c>
      <c r="J50" s="96" t="str">
        <f t="shared" si="2"/>
        <v/>
      </c>
    </row>
    <row r="51" spans="1:10">
      <c r="A51" t="s">
        <v>1543</v>
      </c>
      <c r="C51" s="96">
        <v>1</v>
      </c>
      <c r="D51" s="96">
        <v>1</v>
      </c>
      <c r="F51" s="96">
        <v>1</v>
      </c>
      <c r="H51" s="65">
        <f t="shared" si="0"/>
        <v>3</v>
      </c>
      <c r="I51" s="203">
        <f t="shared" si="1"/>
        <v>0.375</v>
      </c>
      <c r="J51" s="96">
        <f t="shared" si="2"/>
        <v>3</v>
      </c>
    </row>
    <row r="52" spans="1:10">
      <c r="A52" t="s">
        <v>1544</v>
      </c>
      <c r="H52" s="65">
        <f t="shared" si="0"/>
        <v>0</v>
      </c>
      <c r="I52" s="203">
        <f t="shared" si="1"/>
        <v>0</v>
      </c>
      <c r="J52" s="96" t="str">
        <f t="shared" si="2"/>
        <v/>
      </c>
    </row>
    <row r="53" spans="1:10">
      <c r="A53" t="s">
        <v>1545</v>
      </c>
      <c r="F53" s="96">
        <v>1</v>
      </c>
      <c r="H53" s="65">
        <f t="shared" si="0"/>
        <v>1</v>
      </c>
      <c r="I53" s="203">
        <f t="shared" si="1"/>
        <v>0.125</v>
      </c>
      <c r="J53" s="96">
        <f t="shared" si="2"/>
        <v>1</v>
      </c>
    </row>
    <row r="54" spans="1:10">
      <c r="A54" t="s">
        <v>1546</v>
      </c>
      <c r="C54" s="96">
        <v>1</v>
      </c>
      <c r="D54" s="96">
        <v>1</v>
      </c>
      <c r="F54" s="96">
        <v>1</v>
      </c>
      <c r="H54" s="65">
        <f t="shared" si="0"/>
        <v>3</v>
      </c>
      <c r="I54" s="203">
        <f t="shared" si="1"/>
        <v>0.375</v>
      </c>
      <c r="J54" s="96">
        <f t="shared" si="2"/>
        <v>3</v>
      </c>
    </row>
    <row r="55" spans="1:10">
      <c r="A55" t="s">
        <v>1547</v>
      </c>
      <c r="H55" s="65">
        <f t="shared" si="0"/>
        <v>0</v>
      </c>
      <c r="I55" s="203">
        <f t="shared" si="1"/>
        <v>0</v>
      </c>
      <c r="J55" s="96" t="str">
        <f t="shared" si="2"/>
        <v/>
      </c>
    </row>
    <row r="56" spans="1:10">
      <c r="A56" t="s">
        <v>578</v>
      </c>
      <c r="H56" s="65">
        <f t="shared" si="0"/>
        <v>0</v>
      </c>
      <c r="I56" s="203">
        <f t="shared" si="1"/>
        <v>0</v>
      </c>
      <c r="J56" s="96" t="str">
        <f t="shared" si="2"/>
        <v/>
      </c>
    </row>
    <row r="57" spans="1:10">
      <c r="A57" t="s">
        <v>579</v>
      </c>
      <c r="F57" s="96">
        <v>1</v>
      </c>
      <c r="H57" s="65">
        <f t="shared" si="0"/>
        <v>1</v>
      </c>
      <c r="I57" s="203">
        <f t="shared" si="1"/>
        <v>0.125</v>
      </c>
      <c r="J57" s="96">
        <f t="shared" si="2"/>
        <v>1</v>
      </c>
    </row>
    <row r="58" spans="1:10">
      <c r="A58" t="s">
        <v>1548</v>
      </c>
      <c r="F58" s="96">
        <v>1</v>
      </c>
      <c r="H58" s="65">
        <f t="shared" si="0"/>
        <v>1</v>
      </c>
      <c r="I58" s="203">
        <f t="shared" si="1"/>
        <v>0.125</v>
      </c>
      <c r="J58" s="96">
        <f t="shared" si="2"/>
        <v>1</v>
      </c>
    </row>
    <row r="59" spans="1:10">
      <c r="A59" t="s">
        <v>1549</v>
      </c>
      <c r="F59" s="96">
        <v>1</v>
      </c>
      <c r="H59" s="65">
        <f t="shared" si="0"/>
        <v>1</v>
      </c>
      <c r="I59" s="203">
        <f t="shared" si="1"/>
        <v>0.125</v>
      </c>
      <c r="J59" s="96">
        <f t="shared" si="2"/>
        <v>1</v>
      </c>
    </row>
    <row r="60" spans="1:10">
      <c r="A60" t="s">
        <v>1550</v>
      </c>
      <c r="F60" s="96">
        <v>1</v>
      </c>
      <c r="H60" s="65">
        <f t="shared" si="0"/>
        <v>1</v>
      </c>
      <c r="I60" s="203">
        <f t="shared" si="1"/>
        <v>0.125</v>
      </c>
      <c r="J60" s="96">
        <f t="shared" si="2"/>
        <v>1</v>
      </c>
    </row>
    <row r="61" spans="1:10">
      <c r="A61" t="s">
        <v>1551</v>
      </c>
      <c r="H61" s="65">
        <f t="shared" si="0"/>
        <v>0</v>
      </c>
      <c r="I61" s="203">
        <f t="shared" si="1"/>
        <v>0</v>
      </c>
      <c r="J61" s="96" t="str">
        <f t="shared" si="2"/>
        <v/>
      </c>
    </row>
    <row r="62" spans="1:10">
      <c r="A62" t="s">
        <v>584</v>
      </c>
      <c r="H62" s="65">
        <f t="shared" si="0"/>
        <v>0</v>
      </c>
      <c r="I62" s="203">
        <f t="shared" si="1"/>
        <v>0</v>
      </c>
      <c r="J62" s="96" t="str">
        <f t="shared" si="2"/>
        <v/>
      </c>
    </row>
    <row r="63" spans="1:10">
      <c r="A63" t="s">
        <v>1552</v>
      </c>
      <c r="H63" s="65">
        <f t="shared" si="0"/>
        <v>0</v>
      </c>
      <c r="I63" s="203">
        <f t="shared" si="1"/>
        <v>0</v>
      </c>
      <c r="J63" s="96" t="str">
        <f t="shared" si="2"/>
        <v/>
      </c>
    </row>
    <row r="64" spans="1:10">
      <c r="A64" t="s">
        <v>1553</v>
      </c>
      <c r="H64" s="65">
        <f t="shared" si="0"/>
        <v>0</v>
      </c>
      <c r="I64" s="203">
        <f t="shared" si="1"/>
        <v>0</v>
      </c>
      <c r="J64" s="96" t="str">
        <f t="shared" si="2"/>
        <v/>
      </c>
    </row>
    <row r="65" spans="1:10">
      <c r="A65" t="s">
        <v>1554</v>
      </c>
      <c r="H65" s="65">
        <f t="shared" si="0"/>
        <v>0</v>
      </c>
      <c r="I65" s="203">
        <f t="shared" si="1"/>
        <v>0</v>
      </c>
      <c r="J65" s="96" t="str">
        <f t="shared" si="2"/>
        <v/>
      </c>
    </row>
    <row r="66" spans="1:10">
      <c r="A66" t="s">
        <v>1555</v>
      </c>
      <c r="H66" s="65">
        <f t="shared" ref="H66:H129" si="3">SUM(B66:G66)</f>
        <v>0</v>
      </c>
      <c r="I66" s="203">
        <f t="shared" si="1"/>
        <v>0</v>
      </c>
      <c r="J66" s="96" t="str">
        <f t="shared" si="2"/>
        <v/>
      </c>
    </row>
    <row r="67" spans="1:10">
      <c r="A67" t="s">
        <v>1556</v>
      </c>
      <c r="H67" s="65">
        <f t="shared" si="3"/>
        <v>0</v>
      </c>
      <c r="I67" s="203">
        <f t="shared" ref="I67:I130" si="4">+H67/8</f>
        <v>0</v>
      </c>
      <c r="J67" s="96" t="str">
        <f t="shared" ref="J67:J130" si="5">+IF(H67=6,6,IF(H67=5,5,IF(H67=4,4,IF(H67=3,3,IF(H67=2,2,IF(H67=1,1,""))))))</f>
        <v/>
      </c>
    </row>
    <row r="68" spans="1:10">
      <c r="A68" t="s">
        <v>1557</v>
      </c>
      <c r="H68" s="65">
        <f t="shared" si="3"/>
        <v>0</v>
      </c>
      <c r="I68" s="203">
        <f t="shared" si="4"/>
        <v>0</v>
      </c>
      <c r="J68" s="96" t="str">
        <f t="shared" si="5"/>
        <v/>
      </c>
    </row>
    <row r="69" spans="1:10">
      <c r="A69" t="s">
        <v>1558</v>
      </c>
      <c r="H69" s="65">
        <f t="shared" si="3"/>
        <v>0</v>
      </c>
      <c r="I69" s="203">
        <f t="shared" si="4"/>
        <v>0</v>
      </c>
      <c r="J69" s="96" t="str">
        <f t="shared" si="5"/>
        <v/>
      </c>
    </row>
    <row r="70" spans="1:10">
      <c r="A70" t="s">
        <v>1559</v>
      </c>
      <c r="H70" s="65">
        <f t="shared" si="3"/>
        <v>0</v>
      </c>
      <c r="I70" s="203">
        <f t="shared" si="4"/>
        <v>0</v>
      </c>
      <c r="J70" s="96" t="str">
        <f t="shared" si="5"/>
        <v/>
      </c>
    </row>
    <row r="71" spans="1:10">
      <c r="A71" t="s">
        <v>1560</v>
      </c>
      <c r="E71" s="96">
        <v>1</v>
      </c>
      <c r="H71" s="65">
        <f t="shared" si="3"/>
        <v>1</v>
      </c>
      <c r="I71" s="203">
        <f t="shared" si="4"/>
        <v>0.125</v>
      </c>
      <c r="J71" s="96">
        <f t="shared" si="5"/>
        <v>1</v>
      </c>
    </row>
    <row r="72" spans="1:10">
      <c r="A72" t="s">
        <v>1561</v>
      </c>
      <c r="H72" s="65">
        <f t="shared" si="3"/>
        <v>0</v>
      </c>
      <c r="I72" s="203">
        <f t="shared" si="4"/>
        <v>0</v>
      </c>
      <c r="J72" s="96" t="str">
        <f t="shared" si="5"/>
        <v/>
      </c>
    </row>
    <row r="73" spans="1:10">
      <c r="A73" t="s">
        <v>1562</v>
      </c>
      <c r="F73" s="96">
        <v>1</v>
      </c>
      <c r="H73" s="65">
        <f t="shared" si="3"/>
        <v>1</v>
      </c>
      <c r="I73" s="203">
        <f t="shared" si="4"/>
        <v>0.125</v>
      </c>
      <c r="J73" s="96">
        <f t="shared" si="5"/>
        <v>1</v>
      </c>
    </row>
    <row r="74" spans="1:10">
      <c r="A74" t="s">
        <v>1563</v>
      </c>
      <c r="F74" s="96">
        <v>1</v>
      </c>
      <c r="H74" s="65">
        <f t="shared" si="3"/>
        <v>1</v>
      </c>
      <c r="I74" s="203">
        <f t="shared" si="4"/>
        <v>0.125</v>
      </c>
      <c r="J74" s="96">
        <f t="shared" si="5"/>
        <v>1</v>
      </c>
    </row>
    <row r="75" spans="1:10">
      <c r="A75" t="s">
        <v>1564</v>
      </c>
      <c r="F75" s="96">
        <v>1</v>
      </c>
      <c r="H75" s="65">
        <f t="shared" si="3"/>
        <v>1</v>
      </c>
      <c r="I75" s="203">
        <f t="shared" si="4"/>
        <v>0.125</v>
      </c>
      <c r="J75" s="96">
        <f t="shared" si="5"/>
        <v>1</v>
      </c>
    </row>
    <row r="76" spans="1:10">
      <c r="A76" t="s">
        <v>1565</v>
      </c>
      <c r="B76" s="96">
        <v>1</v>
      </c>
      <c r="H76" s="65">
        <f t="shared" si="3"/>
        <v>1</v>
      </c>
      <c r="I76" s="203">
        <f t="shared" si="4"/>
        <v>0.125</v>
      </c>
      <c r="J76" s="96">
        <f t="shared" si="5"/>
        <v>1</v>
      </c>
    </row>
    <row r="77" spans="1:10">
      <c r="A77" t="s">
        <v>1566</v>
      </c>
      <c r="C77" s="96">
        <v>1</v>
      </c>
      <c r="D77" s="96">
        <v>1</v>
      </c>
      <c r="E77" s="96">
        <v>1</v>
      </c>
      <c r="F77" s="96">
        <v>1</v>
      </c>
      <c r="H77" s="65">
        <f t="shared" si="3"/>
        <v>4</v>
      </c>
      <c r="I77" s="203">
        <f t="shared" si="4"/>
        <v>0.5</v>
      </c>
      <c r="J77" s="96">
        <f t="shared" si="5"/>
        <v>4</v>
      </c>
    </row>
    <row r="78" spans="1:10">
      <c r="A78" t="s">
        <v>1567</v>
      </c>
      <c r="H78" s="65">
        <f t="shared" si="3"/>
        <v>0</v>
      </c>
      <c r="I78" s="203">
        <f t="shared" si="4"/>
        <v>0</v>
      </c>
      <c r="J78" s="96" t="str">
        <f t="shared" si="5"/>
        <v/>
      </c>
    </row>
    <row r="79" spans="1:10">
      <c r="A79" t="s">
        <v>1568</v>
      </c>
      <c r="F79" s="96">
        <v>1</v>
      </c>
      <c r="H79" s="65">
        <f t="shared" si="3"/>
        <v>1</v>
      </c>
      <c r="I79" s="203">
        <f t="shared" si="4"/>
        <v>0.125</v>
      </c>
      <c r="J79" s="96">
        <f t="shared" si="5"/>
        <v>1</v>
      </c>
    </row>
    <row r="80" spans="1:10">
      <c r="A80" t="s">
        <v>1569</v>
      </c>
      <c r="F80" s="96">
        <v>1</v>
      </c>
      <c r="H80" s="65">
        <f t="shared" si="3"/>
        <v>1</v>
      </c>
      <c r="I80" s="203">
        <f t="shared" si="4"/>
        <v>0.125</v>
      </c>
      <c r="J80" s="96">
        <f t="shared" si="5"/>
        <v>1</v>
      </c>
    </row>
    <row r="81" spans="1:10">
      <c r="A81" t="s">
        <v>604</v>
      </c>
      <c r="E81" s="96">
        <v>1</v>
      </c>
      <c r="H81" s="65">
        <f t="shared" si="3"/>
        <v>1</v>
      </c>
      <c r="I81" s="203">
        <f t="shared" si="4"/>
        <v>0.125</v>
      </c>
      <c r="J81" s="96">
        <f t="shared" si="5"/>
        <v>1</v>
      </c>
    </row>
    <row r="82" spans="1:10">
      <c r="A82" t="s">
        <v>1570</v>
      </c>
      <c r="H82" s="65">
        <f t="shared" si="3"/>
        <v>0</v>
      </c>
      <c r="I82" s="203">
        <f t="shared" si="4"/>
        <v>0</v>
      </c>
      <c r="J82" s="96" t="str">
        <f t="shared" si="5"/>
        <v/>
      </c>
    </row>
    <row r="83" spans="1:10">
      <c r="A83" t="s">
        <v>1571</v>
      </c>
      <c r="H83" s="65">
        <f t="shared" si="3"/>
        <v>0</v>
      </c>
      <c r="I83" s="203">
        <f t="shared" si="4"/>
        <v>0</v>
      </c>
      <c r="J83" s="96" t="str">
        <f t="shared" si="5"/>
        <v/>
      </c>
    </row>
    <row r="84" spans="1:10">
      <c r="A84" t="s">
        <v>1572</v>
      </c>
      <c r="B84" s="96">
        <v>1</v>
      </c>
      <c r="F84" s="96">
        <v>1</v>
      </c>
      <c r="G84" s="96">
        <v>1</v>
      </c>
      <c r="H84" s="65">
        <f t="shared" si="3"/>
        <v>3</v>
      </c>
      <c r="I84" s="203">
        <f t="shared" si="4"/>
        <v>0.375</v>
      </c>
      <c r="J84" s="96">
        <f t="shared" si="5"/>
        <v>3</v>
      </c>
    </row>
    <row r="85" spans="1:10">
      <c r="A85" t="s">
        <v>1573</v>
      </c>
      <c r="B85" s="96">
        <v>1</v>
      </c>
      <c r="F85" s="96">
        <v>1</v>
      </c>
      <c r="H85" s="65">
        <f t="shared" si="3"/>
        <v>2</v>
      </c>
      <c r="I85" s="203">
        <f t="shared" si="4"/>
        <v>0.25</v>
      </c>
      <c r="J85" s="96">
        <f t="shared" si="5"/>
        <v>2</v>
      </c>
    </row>
    <row r="86" spans="1:10">
      <c r="A86" t="s">
        <v>1574</v>
      </c>
      <c r="F86" s="96">
        <v>1</v>
      </c>
      <c r="H86" s="65">
        <f t="shared" si="3"/>
        <v>1</v>
      </c>
      <c r="I86" s="203">
        <f t="shared" si="4"/>
        <v>0.125</v>
      </c>
      <c r="J86" s="96">
        <f t="shared" si="5"/>
        <v>1</v>
      </c>
    </row>
    <row r="87" spans="1:10">
      <c r="A87" t="s">
        <v>1575</v>
      </c>
      <c r="H87" s="65">
        <f t="shared" si="3"/>
        <v>0</v>
      </c>
      <c r="I87" s="203">
        <f t="shared" si="4"/>
        <v>0</v>
      </c>
      <c r="J87" s="96" t="str">
        <f t="shared" si="5"/>
        <v/>
      </c>
    </row>
    <row r="88" spans="1:10">
      <c r="A88" t="s">
        <v>1576</v>
      </c>
      <c r="H88" s="65">
        <f t="shared" si="3"/>
        <v>0</v>
      </c>
      <c r="I88" s="203">
        <f t="shared" si="4"/>
        <v>0</v>
      </c>
      <c r="J88" s="96" t="str">
        <f t="shared" si="5"/>
        <v/>
      </c>
    </row>
    <row r="89" spans="1:10">
      <c r="A89" t="s">
        <v>1577</v>
      </c>
      <c r="F89" s="96">
        <v>1</v>
      </c>
      <c r="H89" s="65">
        <f t="shared" si="3"/>
        <v>1</v>
      </c>
      <c r="I89" s="203">
        <f t="shared" si="4"/>
        <v>0.125</v>
      </c>
      <c r="J89" s="96">
        <f t="shared" si="5"/>
        <v>1</v>
      </c>
    </row>
    <row r="90" spans="1:10">
      <c r="A90" t="s">
        <v>1578</v>
      </c>
      <c r="H90" s="65">
        <f t="shared" si="3"/>
        <v>0</v>
      </c>
      <c r="I90" s="203">
        <f t="shared" si="4"/>
        <v>0</v>
      </c>
      <c r="J90" s="96" t="str">
        <f t="shared" si="5"/>
        <v/>
      </c>
    </row>
    <row r="91" spans="1:10">
      <c r="A91" t="s">
        <v>1579</v>
      </c>
      <c r="H91" s="65">
        <f t="shared" si="3"/>
        <v>0</v>
      </c>
      <c r="I91" s="203">
        <f t="shared" si="4"/>
        <v>0</v>
      </c>
      <c r="J91" s="96" t="str">
        <f t="shared" si="5"/>
        <v/>
      </c>
    </row>
    <row r="92" spans="1:10">
      <c r="A92" t="s">
        <v>1580</v>
      </c>
      <c r="H92" s="65">
        <f t="shared" si="3"/>
        <v>0</v>
      </c>
      <c r="I92" s="203">
        <f t="shared" si="4"/>
        <v>0</v>
      </c>
      <c r="J92" s="96" t="str">
        <f t="shared" si="5"/>
        <v/>
      </c>
    </row>
    <row r="93" spans="1:10">
      <c r="A93" t="s">
        <v>1581</v>
      </c>
      <c r="C93" s="96">
        <v>1</v>
      </c>
      <c r="H93" s="65">
        <f t="shared" si="3"/>
        <v>1</v>
      </c>
      <c r="I93" s="203">
        <f t="shared" si="4"/>
        <v>0.125</v>
      </c>
      <c r="J93" s="96">
        <f t="shared" si="5"/>
        <v>1</v>
      </c>
    </row>
    <row r="94" spans="1:10">
      <c r="A94" t="s">
        <v>1582</v>
      </c>
      <c r="H94" s="65">
        <f t="shared" si="3"/>
        <v>0</v>
      </c>
      <c r="I94" s="203">
        <f t="shared" si="4"/>
        <v>0</v>
      </c>
      <c r="J94" s="96" t="str">
        <f t="shared" si="5"/>
        <v/>
      </c>
    </row>
    <row r="95" spans="1:10">
      <c r="A95" t="s">
        <v>1583</v>
      </c>
      <c r="C95" s="96">
        <v>1</v>
      </c>
      <c r="H95" s="65">
        <f t="shared" si="3"/>
        <v>1</v>
      </c>
      <c r="I95" s="203">
        <f t="shared" si="4"/>
        <v>0.125</v>
      </c>
      <c r="J95" s="96">
        <f t="shared" si="5"/>
        <v>1</v>
      </c>
    </row>
    <row r="96" spans="1:10">
      <c r="A96" t="s">
        <v>1584</v>
      </c>
      <c r="H96" s="65">
        <f t="shared" si="3"/>
        <v>0</v>
      </c>
      <c r="I96" s="203">
        <f t="shared" si="4"/>
        <v>0</v>
      </c>
      <c r="J96" s="96" t="str">
        <f t="shared" si="5"/>
        <v/>
      </c>
    </row>
    <row r="97" spans="1:10">
      <c r="A97" t="s">
        <v>1585</v>
      </c>
      <c r="H97" s="65">
        <f t="shared" si="3"/>
        <v>0</v>
      </c>
      <c r="I97" s="203">
        <f t="shared" si="4"/>
        <v>0</v>
      </c>
      <c r="J97" s="96" t="str">
        <f t="shared" si="5"/>
        <v/>
      </c>
    </row>
    <row r="98" spans="1:10">
      <c r="A98" t="s">
        <v>1586</v>
      </c>
      <c r="B98" s="96">
        <v>1</v>
      </c>
      <c r="H98" s="65">
        <f t="shared" si="3"/>
        <v>1</v>
      </c>
      <c r="I98" s="203">
        <f t="shared" si="4"/>
        <v>0.125</v>
      </c>
      <c r="J98" s="96">
        <f t="shared" si="5"/>
        <v>1</v>
      </c>
    </row>
    <row r="99" spans="1:10">
      <c r="A99" t="s">
        <v>1587</v>
      </c>
      <c r="H99" s="65">
        <f t="shared" si="3"/>
        <v>0</v>
      </c>
      <c r="I99" s="203">
        <f t="shared" si="4"/>
        <v>0</v>
      </c>
      <c r="J99" s="96" t="str">
        <f t="shared" si="5"/>
        <v/>
      </c>
    </row>
    <row r="100" spans="1:10">
      <c r="A100" t="s">
        <v>1588</v>
      </c>
      <c r="F100" s="96">
        <v>1</v>
      </c>
      <c r="H100" s="65">
        <f t="shared" si="3"/>
        <v>1</v>
      </c>
      <c r="I100" s="203">
        <f t="shared" si="4"/>
        <v>0.125</v>
      </c>
      <c r="J100" s="96">
        <f t="shared" si="5"/>
        <v>1</v>
      </c>
    </row>
    <row r="101" spans="1:10">
      <c r="A101" t="s">
        <v>1589</v>
      </c>
      <c r="H101" s="65">
        <f t="shared" si="3"/>
        <v>0</v>
      </c>
      <c r="I101" s="203">
        <f t="shared" si="4"/>
        <v>0</v>
      </c>
      <c r="J101" s="96" t="str">
        <f t="shared" si="5"/>
        <v/>
      </c>
    </row>
    <row r="102" spans="1:10">
      <c r="A102" t="s">
        <v>1590</v>
      </c>
      <c r="H102" s="65">
        <f t="shared" si="3"/>
        <v>0</v>
      </c>
      <c r="I102" s="203">
        <f t="shared" si="4"/>
        <v>0</v>
      </c>
      <c r="J102" s="96" t="str">
        <f t="shared" si="5"/>
        <v/>
      </c>
    </row>
    <row r="103" spans="1:10">
      <c r="A103" t="s">
        <v>627</v>
      </c>
      <c r="E103" s="96">
        <v>1</v>
      </c>
      <c r="F103" s="96">
        <v>1</v>
      </c>
      <c r="H103" s="65">
        <f t="shared" si="3"/>
        <v>2</v>
      </c>
      <c r="I103" s="203">
        <f t="shared" si="4"/>
        <v>0.25</v>
      </c>
      <c r="J103" s="96">
        <f t="shared" si="5"/>
        <v>2</v>
      </c>
    </row>
    <row r="104" spans="1:10">
      <c r="A104" t="s">
        <v>1591</v>
      </c>
      <c r="H104" s="65">
        <f t="shared" si="3"/>
        <v>0</v>
      </c>
      <c r="I104" s="203">
        <f t="shared" si="4"/>
        <v>0</v>
      </c>
      <c r="J104" s="96" t="str">
        <f t="shared" si="5"/>
        <v/>
      </c>
    </row>
    <row r="105" spans="1:10">
      <c r="A105" t="s">
        <v>1592</v>
      </c>
      <c r="F105" s="96">
        <v>1</v>
      </c>
      <c r="H105" s="65">
        <f t="shared" si="3"/>
        <v>1</v>
      </c>
      <c r="I105" s="203">
        <f t="shared" si="4"/>
        <v>0.125</v>
      </c>
      <c r="J105" s="96">
        <f t="shared" si="5"/>
        <v>1</v>
      </c>
    </row>
    <row r="106" spans="1:10">
      <c r="A106" t="s">
        <v>1593</v>
      </c>
      <c r="H106" s="65">
        <f t="shared" si="3"/>
        <v>0</v>
      </c>
      <c r="I106" s="203">
        <f t="shared" si="4"/>
        <v>0</v>
      </c>
      <c r="J106" s="96" t="str">
        <f t="shared" si="5"/>
        <v/>
      </c>
    </row>
    <row r="107" spans="1:10">
      <c r="A107" t="s">
        <v>1594</v>
      </c>
      <c r="H107" s="65">
        <f t="shared" si="3"/>
        <v>0</v>
      </c>
      <c r="I107" s="203">
        <f t="shared" si="4"/>
        <v>0</v>
      </c>
      <c r="J107" s="96" t="str">
        <f t="shared" si="5"/>
        <v/>
      </c>
    </row>
    <row r="108" spans="1:10">
      <c r="A108" t="s">
        <v>632</v>
      </c>
      <c r="E108" s="96">
        <v>1</v>
      </c>
      <c r="H108" s="65">
        <f t="shared" si="3"/>
        <v>1</v>
      </c>
      <c r="I108" s="203">
        <f t="shared" si="4"/>
        <v>0.125</v>
      </c>
      <c r="J108" s="96">
        <f t="shared" si="5"/>
        <v>1</v>
      </c>
    </row>
    <row r="109" spans="1:10">
      <c r="A109" t="s">
        <v>1595</v>
      </c>
      <c r="H109" s="65">
        <f t="shared" si="3"/>
        <v>0</v>
      </c>
      <c r="I109" s="203">
        <f t="shared" si="4"/>
        <v>0</v>
      </c>
      <c r="J109" s="96" t="str">
        <f t="shared" si="5"/>
        <v/>
      </c>
    </row>
    <row r="110" spans="1:10">
      <c r="A110" t="s">
        <v>1596</v>
      </c>
      <c r="H110" s="65">
        <f t="shared" si="3"/>
        <v>0</v>
      </c>
      <c r="I110" s="203">
        <f t="shared" si="4"/>
        <v>0</v>
      </c>
      <c r="J110" s="96" t="str">
        <f t="shared" si="5"/>
        <v/>
      </c>
    </row>
    <row r="111" spans="1:10">
      <c r="A111" t="s">
        <v>1597</v>
      </c>
      <c r="H111" s="65">
        <f t="shared" si="3"/>
        <v>0</v>
      </c>
      <c r="I111" s="203">
        <f t="shared" si="4"/>
        <v>0</v>
      </c>
      <c r="J111" s="96" t="str">
        <f t="shared" si="5"/>
        <v/>
      </c>
    </row>
    <row r="112" spans="1:10">
      <c r="A112" t="s">
        <v>635</v>
      </c>
      <c r="H112" s="65">
        <f t="shared" si="3"/>
        <v>0</v>
      </c>
      <c r="I112" s="203">
        <f t="shared" si="4"/>
        <v>0</v>
      </c>
      <c r="J112" s="96" t="str">
        <f t="shared" si="5"/>
        <v/>
      </c>
    </row>
    <row r="113" spans="1:10">
      <c r="A113" t="s">
        <v>1598</v>
      </c>
      <c r="F113" s="96">
        <v>1</v>
      </c>
      <c r="H113" s="65">
        <f t="shared" si="3"/>
        <v>1</v>
      </c>
      <c r="I113" s="203">
        <f t="shared" si="4"/>
        <v>0.125</v>
      </c>
      <c r="J113" s="96">
        <f t="shared" si="5"/>
        <v>1</v>
      </c>
    </row>
    <row r="114" spans="1:10">
      <c r="A114" t="s">
        <v>1599</v>
      </c>
      <c r="H114" s="65">
        <f t="shared" si="3"/>
        <v>0</v>
      </c>
      <c r="I114" s="203">
        <f t="shared" si="4"/>
        <v>0</v>
      </c>
      <c r="J114" s="96" t="str">
        <f t="shared" si="5"/>
        <v/>
      </c>
    </row>
    <row r="115" spans="1:10">
      <c r="A115" t="s">
        <v>1600</v>
      </c>
      <c r="H115" s="65">
        <f t="shared" si="3"/>
        <v>0</v>
      </c>
      <c r="I115" s="203">
        <f t="shared" si="4"/>
        <v>0</v>
      </c>
      <c r="J115" s="96" t="str">
        <f t="shared" si="5"/>
        <v/>
      </c>
    </row>
    <row r="116" spans="1:10">
      <c r="A116" t="s">
        <v>1601</v>
      </c>
      <c r="H116" s="65">
        <f t="shared" si="3"/>
        <v>0</v>
      </c>
      <c r="I116" s="203">
        <f t="shared" si="4"/>
        <v>0</v>
      </c>
      <c r="J116" s="96" t="str">
        <f t="shared" si="5"/>
        <v/>
      </c>
    </row>
    <row r="117" spans="1:10">
      <c r="A117" t="s">
        <v>1602</v>
      </c>
      <c r="H117" s="65">
        <f t="shared" si="3"/>
        <v>0</v>
      </c>
      <c r="I117" s="203">
        <f t="shared" si="4"/>
        <v>0</v>
      </c>
      <c r="J117" s="96" t="str">
        <f t="shared" si="5"/>
        <v/>
      </c>
    </row>
    <row r="118" spans="1:10">
      <c r="A118" t="s">
        <v>1603</v>
      </c>
      <c r="H118" s="65">
        <f t="shared" si="3"/>
        <v>0</v>
      </c>
      <c r="I118" s="203">
        <f t="shared" si="4"/>
        <v>0</v>
      </c>
      <c r="J118" s="96" t="str">
        <f t="shared" si="5"/>
        <v/>
      </c>
    </row>
    <row r="119" spans="1:10">
      <c r="A119" t="s">
        <v>1604</v>
      </c>
      <c r="C119" s="96">
        <v>1</v>
      </c>
      <c r="D119" s="96">
        <v>1</v>
      </c>
      <c r="E119" s="96">
        <v>1</v>
      </c>
      <c r="F119" s="96">
        <v>1</v>
      </c>
      <c r="H119" s="65">
        <f t="shared" si="3"/>
        <v>4</v>
      </c>
      <c r="I119" s="203">
        <f t="shared" si="4"/>
        <v>0.5</v>
      </c>
      <c r="J119" s="96">
        <f t="shared" si="5"/>
        <v>4</v>
      </c>
    </row>
    <row r="120" spans="1:10">
      <c r="A120" t="s">
        <v>641</v>
      </c>
      <c r="H120" s="65">
        <f t="shared" si="3"/>
        <v>0</v>
      </c>
      <c r="I120" s="203">
        <f t="shared" si="4"/>
        <v>0</v>
      </c>
      <c r="J120" s="96" t="str">
        <f t="shared" si="5"/>
        <v/>
      </c>
    </row>
    <row r="121" spans="1:10">
      <c r="A121" t="s">
        <v>1605</v>
      </c>
      <c r="F121" s="96">
        <v>1</v>
      </c>
      <c r="H121" s="65">
        <f t="shared" si="3"/>
        <v>1</v>
      </c>
      <c r="I121" s="203">
        <f t="shared" si="4"/>
        <v>0.125</v>
      </c>
      <c r="J121" s="96">
        <f t="shared" si="5"/>
        <v>1</v>
      </c>
    </row>
    <row r="122" spans="1:10">
      <c r="A122" t="s">
        <v>1606</v>
      </c>
      <c r="H122" s="65">
        <f t="shared" si="3"/>
        <v>0</v>
      </c>
      <c r="I122" s="203">
        <f t="shared" si="4"/>
        <v>0</v>
      </c>
      <c r="J122" s="96" t="str">
        <f t="shared" si="5"/>
        <v/>
      </c>
    </row>
    <row r="123" spans="1:10">
      <c r="A123" t="s">
        <v>1607</v>
      </c>
      <c r="H123" s="65">
        <f t="shared" si="3"/>
        <v>0</v>
      </c>
      <c r="I123" s="203">
        <f t="shared" si="4"/>
        <v>0</v>
      </c>
      <c r="J123" s="96" t="str">
        <f t="shared" si="5"/>
        <v/>
      </c>
    </row>
    <row r="124" spans="1:10">
      <c r="A124" t="s">
        <v>1608</v>
      </c>
      <c r="F124" s="96">
        <v>1</v>
      </c>
      <c r="H124" s="65">
        <f t="shared" si="3"/>
        <v>1</v>
      </c>
      <c r="I124" s="203">
        <f t="shared" si="4"/>
        <v>0.125</v>
      </c>
      <c r="J124" s="96">
        <f t="shared" si="5"/>
        <v>1</v>
      </c>
    </row>
    <row r="125" spans="1:10">
      <c r="A125" t="s">
        <v>1609</v>
      </c>
      <c r="H125" s="65">
        <f t="shared" si="3"/>
        <v>0</v>
      </c>
      <c r="I125" s="203">
        <f t="shared" si="4"/>
        <v>0</v>
      </c>
      <c r="J125" s="96" t="str">
        <f t="shared" si="5"/>
        <v/>
      </c>
    </row>
    <row r="126" spans="1:10">
      <c r="A126" t="s">
        <v>1610</v>
      </c>
      <c r="B126" s="96">
        <v>1</v>
      </c>
      <c r="C126" s="96">
        <v>1</v>
      </c>
      <c r="D126" s="96">
        <v>1</v>
      </c>
      <c r="H126" s="65">
        <f t="shared" si="3"/>
        <v>3</v>
      </c>
      <c r="I126" s="203">
        <f t="shared" si="4"/>
        <v>0.375</v>
      </c>
      <c r="J126" s="96">
        <f t="shared" si="5"/>
        <v>3</v>
      </c>
    </row>
    <row r="127" spans="1:10">
      <c r="A127" t="s">
        <v>647</v>
      </c>
      <c r="H127" s="65">
        <f t="shared" si="3"/>
        <v>0</v>
      </c>
      <c r="I127" s="203">
        <f t="shared" si="4"/>
        <v>0</v>
      </c>
      <c r="J127" s="96" t="str">
        <f t="shared" si="5"/>
        <v/>
      </c>
    </row>
    <row r="128" spans="1:10">
      <c r="A128" t="s">
        <v>1611</v>
      </c>
      <c r="H128" s="65">
        <f t="shared" si="3"/>
        <v>0</v>
      </c>
      <c r="I128" s="203">
        <f t="shared" si="4"/>
        <v>0</v>
      </c>
      <c r="J128" s="96" t="str">
        <f t="shared" si="5"/>
        <v/>
      </c>
    </row>
    <row r="129" spans="1:10">
      <c r="A129" t="s">
        <v>1612</v>
      </c>
      <c r="H129" s="65">
        <f t="shared" si="3"/>
        <v>0</v>
      </c>
      <c r="I129" s="203">
        <f t="shared" si="4"/>
        <v>0</v>
      </c>
      <c r="J129" s="96" t="str">
        <f t="shared" si="5"/>
        <v/>
      </c>
    </row>
    <row r="130" spans="1:10">
      <c r="A130" t="s">
        <v>1613</v>
      </c>
      <c r="E130" s="96">
        <v>1</v>
      </c>
      <c r="H130" s="65">
        <f t="shared" ref="H130:H193" si="6">SUM(B130:G130)</f>
        <v>1</v>
      </c>
      <c r="I130" s="203">
        <f t="shared" si="4"/>
        <v>0.125</v>
      </c>
      <c r="J130" s="96">
        <f t="shared" si="5"/>
        <v>1</v>
      </c>
    </row>
    <row r="131" spans="1:10">
      <c r="A131" t="s">
        <v>1614</v>
      </c>
      <c r="F131" s="96">
        <v>1</v>
      </c>
      <c r="H131" s="65">
        <f t="shared" si="6"/>
        <v>1</v>
      </c>
      <c r="I131" s="203">
        <f t="shared" ref="I131:I193" si="7">+H131/8</f>
        <v>0.125</v>
      </c>
      <c r="J131" s="96">
        <f t="shared" ref="J131:J194" si="8">+IF(H131=6,6,IF(H131=5,5,IF(H131=4,4,IF(H131=3,3,IF(H131=2,2,IF(H131=1,1,""))))))</f>
        <v>1</v>
      </c>
    </row>
    <row r="132" spans="1:10">
      <c r="A132" t="s">
        <v>1615</v>
      </c>
      <c r="F132" s="96">
        <v>1</v>
      </c>
      <c r="H132" s="65">
        <f t="shared" si="6"/>
        <v>1</v>
      </c>
      <c r="I132" s="203">
        <f t="shared" si="7"/>
        <v>0.125</v>
      </c>
      <c r="J132" s="96">
        <f t="shared" si="8"/>
        <v>1</v>
      </c>
    </row>
    <row r="133" spans="1:10">
      <c r="A133" t="s">
        <v>1616</v>
      </c>
      <c r="E133" s="96">
        <v>1</v>
      </c>
      <c r="H133" s="65">
        <f t="shared" si="6"/>
        <v>1</v>
      </c>
      <c r="I133" s="203">
        <f t="shared" si="7"/>
        <v>0.125</v>
      </c>
      <c r="J133" s="96">
        <f t="shared" si="8"/>
        <v>1</v>
      </c>
    </row>
    <row r="134" spans="1:10">
      <c r="A134" t="s">
        <v>1617</v>
      </c>
      <c r="B134" s="96">
        <v>1</v>
      </c>
      <c r="F134" s="96">
        <v>1</v>
      </c>
      <c r="H134" s="65">
        <f t="shared" si="6"/>
        <v>2</v>
      </c>
      <c r="I134" s="203">
        <f t="shared" si="7"/>
        <v>0.25</v>
      </c>
      <c r="J134" s="96">
        <f t="shared" si="8"/>
        <v>2</v>
      </c>
    </row>
    <row r="135" spans="1:10">
      <c r="A135" t="s">
        <v>653</v>
      </c>
      <c r="H135" s="65">
        <f t="shared" si="6"/>
        <v>0</v>
      </c>
      <c r="I135" s="203">
        <f t="shared" si="7"/>
        <v>0</v>
      </c>
      <c r="J135" s="96" t="str">
        <f t="shared" si="8"/>
        <v/>
      </c>
    </row>
    <row r="136" spans="1:10">
      <c r="A136" t="s">
        <v>1618</v>
      </c>
      <c r="H136" s="65">
        <f t="shared" si="6"/>
        <v>0</v>
      </c>
      <c r="I136" s="203">
        <f t="shared" si="7"/>
        <v>0</v>
      </c>
      <c r="J136" s="96" t="str">
        <f t="shared" si="8"/>
        <v/>
      </c>
    </row>
    <row r="137" spans="1:10">
      <c r="A137" t="s">
        <v>1619</v>
      </c>
      <c r="E137" s="96">
        <v>1</v>
      </c>
      <c r="H137" s="65">
        <f t="shared" si="6"/>
        <v>1</v>
      </c>
      <c r="I137" s="203">
        <f t="shared" si="7"/>
        <v>0.125</v>
      </c>
      <c r="J137" s="96">
        <f t="shared" si="8"/>
        <v>1</v>
      </c>
    </row>
    <row r="138" spans="1:10">
      <c r="A138" t="s">
        <v>1620</v>
      </c>
      <c r="H138" s="65">
        <f t="shared" si="6"/>
        <v>0</v>
      </c>
      <c r="I138" s="203">
        <f t="shared" si="7"/>
        <v>0</v>
      </c>
      <c r="J138" s="96" t="str">
        <f t="shared" si="8"/>
        <v/>
      </c>
    </row>
    <row r="139" spans="1:10">
      <c r="A139" t="s">
        <v>1621</v>
      </c>
      <c r="H139" s="65">
        <f t="shared" si="6"/>
        <v>0</v>
      </c>
      <c r="I139" s="203">
        <f t="shared" si="7"/>
        <v>0</v>
      </c>
      <c r="J139" s="96" t="str">
        <f t="shared" si="8"/>
        <v/>
      </c>
    </row>
    <row r="140" spans="1:10">
      <c r="A140" t="s">
        <v>1622</v>
      </c>
      <c r="B140" s="96">
        <v>1</v>
      </c>
      <c r="H140" s="65">
        <f t="shared" si="6"/>
        <v>1</v>
      </c>
      <c r="I140" s="203">
        <f t="shared" si="7"/>
        <v>0.125</v>
      </c>
      <c r="J140" s="96">
        <f t="shared" si="8"/>
        <v>1</v>
      </c>
    </row>
    <row r="141" spans="1:10">
      <c r="A141" t="s">
        <v>1623</v>
      </c>
      <c r="F141" s="96">
        <v>1</v>
      </c>
      <c r="H141" s="65">
        <f t="shared" si="6"/>
        <v>1</v>
      </c>
      <c r="I141" s="203">
        <f t="shared" si="7"/>
        <v>0.125</v>
      </c>
      <c r="J141" s="96">
        <f t="shared" si="8"/>
        <v>1</v>
      </c>
    </row>
    <row r="142" spans="1:10">
      <c r="A142" t="s">
        <v>1624</v>
      </c>
      <c r="C142" s="96">
        <v>1</v>
      </c>
      <c r="F142" s="96">
        <v>1</v>
      </c>
      <c r="H142" s="65">
        <f t="shared" si="6"/>
        <v>2</v>
      </c>
      <c r="I142" s="203">
        <f t="shared" si="7"/>
        <v>0.25</v>
      </c>
      <c r="J142" s="96">
        <f t="shared" si="8"/>
        <v>2</v>
      </c>
    </row>
    <row r="143" spans="1:10">
      <c r="A143" t="s">
        <v>1625</v>
      </c>
      <c r="F143" s="96">
        <v>1</v>
      </c>
      <c r="H143" s="65">
        <f t="shared" si="6"/>
        <v>1</v>
      </c>
      <c r="I143" s="203">
        <f t="shared" si="7"/>
        <v>0.125</v>
      </c>
      <c r="J143" s="96">
        <f t="shared" si="8"/>
        <v>1</v>
      </c>
    </row>
    <row r="144" spans="1:10">
      <c r="A144" t="s">
        <v>1626</v>
      </c>
      <c r="F144" s="96">
        <v>1</v>
      </c>
      <c r="H144" s="65">
        <f t="shared" si="6"/>
        <v>1</v>
      </c>
      <c r="I144" s="203">
        <f t="shared" si="7"/>
        <v>0.125</v>
      </c>
      <c r="J144" s="96">
        <f t="shared" si="8"/>
        <v>1</v>
      </c>
    </row>
    <row r="145" spans="1:10">
      <c r="A145" t="s">
        <v>1627</v>
      </c>
      <c r="H145" s="65">
        <f t="shared" si="6"/>
        <v>0</v>
      </c>
      <c r="I145" s="203">
        <f t="shared" si="7"/>
        <v>0</v>
      </c>
      <c r="J145" s="96" t="str">
        <f t="shared" si="8"/>
        <v/>
      </c>
    </row>
    <row r="146" spans="1:10">
      <c r="A146" t="s">
        <v>1628</v>
      </c>
      <c r="F146" s="96">
        <v>1</v>
      </c>
      <c r="H146" s="65">
        <f t="shared" si="6"/>
        <v>1</v>
      </c>
      <c r="I146" s="203">
        <f t="shared" si="7"/>
        <v>0.125</v>
      </c>
      <c r="J146" s="96">
        <f t="shared" si="8"/>
        <v>1</v>
      </c>
    </row>
    <row r="147" spans="1:10">
      <c r="A147" t="s">
        <v>1629</v>
      </c>
      <c r="F147" s="96">
        <v>1</v>
      </c>
      <c r="H147" s="65">
        <f t="shared" si="6"/>
        <v>1</v>
      </c>
      <c r="I147" s="203">
        <f t="shared" si="7"/>
        <v>0.125</v>
      </c>
      <c r="J147" s="96">
        <f t="shared" si="8"/>
        <v>1</v>
      </c>
    </row>
    <row r="148" spans="1:10">
      <c r="A148" t="s">
        <v>1630</v>
      </c>
      <c r="H148" s="65">
        <f t="shared" si="6"/>
        <v>0</v>
      </c>
      <c r="I148" s="203">
        <f t="shared" si="7"/>
        <v>0</v>
      </c>
      <c r="J148" s="96" t="str">
        <f t="shared" si="8"/>
        <v/>
      </c>
    </row>
    <row r="149" spans="1:10">
      <c r="A149" t="s">
        <v>1631</v>
      </c>
      <c r="F149" s="96">
        <v>1</v>
      </c>
      <c r="H149" s="65">
        <f t="shared" si="6"/>
        <v>1</v>
      </c>
      <c r="I149" s="203">
        <f t="shared" si="7"/>
        <v>0.125</v>
      </c>
      <c r="J149" s="96">
        <f t="shared" si="8"/>
        <v>1</v>
      </c>
    </row>
    <row r="150" spans="1:10">
      <c r="A150" t="s">
        <v>1632</v>
      </c>
      <c r="H150" s="65">
        <f t="shared" si="6"/>
        <v>0</v>
      </c>
      <c r="I150" s="203">
        <f t="shared" si="7"/>
        <v>0</v>
      </c>
      <c r="J150" s="96" t="str">
        <f t="shared" si="8"/>
        <v/>
      </c>
    </row>
    <row r="151" spans="1:10">
      <c r="A151" t="s">
        <v>676</v>
      </c>
      <c r="H151" s="65">
        <f t="shared" si="6"/>
        <v>0</v>
      </c>
      <c r="I151" s="203">
        <f t="shared" si="7"/>
        <v>0</v>
      </c>
      <c r="J151" s="96" t="str">
        <f t="shared" si="8"/>
        <v/>
      </c>
    </row>
    <row r="152" spans="1:10">
      <c r="A152" t="s">
        <v>1633</v>
      </c>
      <c r="H152" s="65">
        <f t="shared" si="6"/>
        <v>0</v>
      </c>
      <c r="I152" s="203">
        <f t="shared" si="7"/>
        <v>0</v>
      </c>
      <c r="J152" s="96" t="str">
        <f t="shared" si="8"/>
        <v/>
      </c>
    </row>
    <row r="153" spans="1:10">
      <c r="A153" t="s">
        <v>1634</v>
      </c>
      <c r="H153" s="65">
        <f t="shared" si="6"/>
        <v>0</v>
      </c>
      <c r="I153" s="203">
        <f t="shared" si="7"/>
        <v>0</v>
      </c>
      <c r="J153" s="96" t="str">
        <f t="shared" si="8"/>
        <v/>
      </c>
    </row>
    <row r="154" spans="1:10">
      <c r="A154" t="s">
        <v>1635</v>
      </c>
      <c r="H154" s="65">
        <f t="shared" si="6"/>
        <v>0</v>
      </c>
      <c r="I154" s="203">
        <f t="shared" si="7"/>
        <v>0</v>
      </c>
      <c r="J154" s="96" t="str">
        <f t="shared" si="8"/>
        <v/>
      </c>
    </row>
    <row r="155" spans="1:10">
      <c r="A155" t="s">
        <v>1636</v>
      </c>
      <c r="H155" s="65">
        <f t="shared" si="6"/>
        <v>0</v>
      </c>
      <c r="I155" s="203">
        <f t="shared" si="7"/>
        <v>0</v>
      </c>
      <c r="J155" s="96" t="str">
        <f t="shared" si="8"/>
        <v/>
      </c>
    </row>
    <row r="156" spans="1:10">
      <c r="A156" t="s">
        <v>1637</v>
      </c>
      <c r="H156" s="65">
        <f t="shared" si="6"/>
        <v>0</v>
      </c>
      <c r="I156" s="203">
        <f t="shared" si="7"/>
        <v>0</v>
      </c>
      <c r="J156" s="96" t="str">
        <f t="shared" si="8"/>
        <v/>
      </c>
    </row>
    <row r="157" spans="1:10">
      <c r="A157" t="s">
        <v>1638</v>
      </c>
      <c r="E157" s="96">
        <v>1</v>
      </c>
      <c r="H157" s="65">
        <f t="shared" si="6"/>
        <v>1</v>
      </c>
      <c r="I157" s="203">
        <f t="shared" si="7"/>
        <v>0.125</v>
      </c>
      <c r="J157" s="96">
        <f t="shared" si="8"/>
        <v>1</v>
      </c>
    </row>
    <row r="158" spans="1:10">
      <c r="A158" t="s">
        <v>682</v>
      </c>
      <c r="F158" s="96">
        <v>1</v>
      </c>
      <c r="H158" s="65">
        <f t="shared" si="6"/>
        <v>1</v>
      </c>
      <c r="I158" s="203">
        <f t="shared" si="7"/>
        <v>0.125</v>
      </c>
      <c r="J158" s="96">
        <f t="shared" si="8"/>
        <v>1</v>
      </c>
    </row>
    <row r="159" spans="1:10">
      <c r="A159" t="s">
        <v>1639</v>
      </c>
      <c r="H159" s="65">
        <f t="shared" si="6"/>
        <v>0</v>
      </c>
      <c r="I159" s="203">
        <f t="shared" si="7"/>
        <v>0</v>
      </c>
      <c r="J159" s="96" t="str">
        <f t="shared" si="8"/>
        <v/>
      </c>
    </row>
    <row r="160" spans="1:10">
      <c r="A160" t="s">
        <v>1640</v>
      </c>
      <c r="H160" s="65">
        <f t="shared" si="6"/>
        <v>0</v>
      </c>
      <c r="I160" s="203">
        <f t="shared" si="7"/>
        <v>0</v>
      </c>
      <c r="J160" s="96" t="str">
        <f t="shared" si="8"/>
        <v/>
      </c>
    </row>
    <row r="161" spans="1:10">
      <c r="A161" t="s">
        <v>685</v>
      </c>
      <c r="H161" s="65">
        <f t="shared" si="6"/>
        <v>0</v>
      </c>
      <c r="I161" s="203">
        <f t="shared" si="7"/>
        <v>0</v>
      </c>
      <c r="J161" s="96" t="str">
        <f t="shared" si="8"/>
        <v/>
      </c>
    </row>
    <row r="162" spans="1:10">
      <c r="A162" t="s">
        <v>686</v>
      </c>
      <c r="B162" s="96">
        <v>1</v>
      </c>
      <c r="E162" s="96">
        <v>1</v>
      </c>
      <c r="F162" s="96">
        <v>1</v>
      </c>
      <c r="G162" s="96">
        <v>1</v>
      </c>
      <c r="H162" s="65">
        <f t="shared" si="6"/>
        <v>4</v>
      </c>
      <c r="I162" s="203">
        <f t="shared" si="7"/>
        <v>0.5</v>
      </c>
      <c r="J162" s="96">
        <f t="shared" si="8"/>
        <v>4</v>
      </c>
    </row>
    <row r="163" spans="1:10">
      <c r="A163" t="s">
        <v>1641</v>
      </c>
      <c r="E163" s="96">
        <v>1</v>
      </c>
      <c r="F163" s="96">
        <v>1</v>
      </c>
      <c r="H163" s="65">
        <f t="shared" si="6"/>
        <v>2</v>
      </c>
      <c r="I163" s="203">
        <f t="shared" si="7"/>
        <v>0.25</v>
      </c>
      <c r="J163" s="96">
        <f t="shared" si="8"/>
        <v>2</v>
      </c>
    </row>
    <row r="164" spans="1:10">
      <c r="A164" t="s">
        <v>1642</v>
      </c>
      <c r="H164" s="65">
        <f t="shared" si="6"/>
        <v>0</v>
      </c>
      <c r="I164" s="203">
        <f t="shared" si="7"/>
        <v>0</v>
      </c>
      <c r="J164" s="96" t="str">
        <f t="shared" si="8"/>
        <v/>
      </c>
    </row>
    <row r="165" spans="1:10">
      <c r="A165" t="s">
        <v>1643</v>
      </c>
      <c r="H165" s="65">
        <f t="shared" si="6"/>
        <v>0</v>
      </c>
      <c r="I165" s="203">
        <f t="shared" si="7"/>
        <v>0</v>
      </c>
      <c r="J165" s="96" t="str">
        <f t="shared" si="8"/>
        <v/>
      </c>
    </row>
    <row r="166" spans="1:10">
      <c r="A166" t="s">
        <v>1644</v>
      </c>
      <c r="E166" s="96">
        <v>1</v>
      </c>
      <c r="F166" s="96">
        <v>1</v>
      </c>
      <c r="G166" s="96">
        <v>1</v>
      </c>
      <c r="H166" s="65">
        <f t="shared" si="6"/>
        <v>3</v>
      </c>
      <c r="I166" s="203">
        <f t="shared" si="7"/>
        <v>0.375</v>
      </c>
      <c r="J166" s="96">
        <f t="shared" si="8"/>
        <v>3</v>
      </c>
    </row>
    <row r="167" spans="1:10">
      <c r="A167" t="s">
        <v>1644</v>
      </c>
      <c r="E167" s="96">
        <v>1</v>
      </c>
      <c r="F167" s="96">
        <v>1</v>
      </c>
      <c r="H167" s="65">
        <f t="shared" si="6"/>
        <v>2</v>
      </c>
      <c r="I167" s="203">
        <f t="shared" si="7"/>
        <v>0.25</v>
      </c>
      <c r="J167" s="96">
        <f t="shared" si="8"/>
        <v>2</v>
      </c>
    </row>
    <row r="168" spans="1:10">
      <c r="A168" t="s">
        <v>1645</v>
      </c>
      <c r="H168" s="65">
        <f t="shared" si="6"/>
        <v>0</v>
      </c>
      <c r="I168" s="203">
        <f t="shared" si="7"/>
        <v>0</v>
      </c>
      <c r="J168" s="96" t="str">
        <f t="shared" si="8"/>
        <v/>
      </c>
    </row>
    <row r="169" spans="1:10">
      <c r="A169" t="s">
        <v>693</v>
      </c>
      <c r="H169" s="65">
        <f t="shared" si="6"/>
        <v>0</v>
      </c>
      <c r="I169" s="203">
        <f t="shared" si="7"/>
        <v>0</v>
      </c>
      <c r="J169" s="96" t="str">
        <f t="shared" si="8"/>
        <v/>
      </c>
    </row>
    <row r="170" spans="1:10">
      <c r="A170" t="s">
        <v>1646</v>
      </c>
      <c r="F170" s="96">
        <v>1</v>
      </c>
      <c r="H170" s="65">
        <f t="shared" si="6"/>
        <v>1</v>
      </c>
      <c r="I170" s="203">
        <f t="shared" si="7"/>
        <v>0.125</v>
      </c>
      <c r="J170" s="96">
        <f t="shared" si="8"/>
        <v>1</v>
      </c>
    </row>
    <row r="171" spans="1:10">
      <c r="A171" t="s">
        <v>1647</v>
      </c>
      <c r="H171" s="65">
        <f t="shared" si="6"/>
        <v>0</v>
      </c>
      <c r="I171" s="203">
        <f t="shared" si="7"/>
        <v>0</v>
      </c>
      <c r="J171" s="96" t="str">
        <f t="shared" si="8"/>
        <v/>
      </c>
    </row>
    <row r="172" spans="1:10">
      <c r="A172" t="s">
        <v>1648</v>
      </c>
      <c r="H172" s="65">
        <f t="shared" si="6"/>
        <v>0</v>
      </c>
      <c r="I172" s="203">
        <f t="shared" si="7"/>
        <v>0</v>
      </c>
      <c r="J172" s="96" t="str">
        <f t="shared" si="8"/>
        <v/>
      </c>
    </row>
    <row r="173" spans="1:10">
      <c r="A173" t="s">
        <v>1649</v>
      </c>
      <c r="H173" s="65">
        <f t="shared" si="6"/>
        <v>0</v>
      </c>
      <c r="I173" s="203">
        <f t="shared" si="7"/>
        <v>0</v>
      </c>
      <c r="J173" s="96" t="str">
        <f t="shared" si="8"/>
        <v/>
      </c>
    </row>
    <row r="174" spans="1:10">
      <c r="A174" t="s">
        <v>1650</v>
      </c>
      <c r="C174" s="96">
        <v>1</v>
      </c>
      <c r="H174" s="65">
        <f t="shared" si="6"/>
        <v>1</v>
      </c>
      <c r="I174" s="203">
        <f t="shared" si="7"/>
        <v>0.125</v>
      </c>
      <c r="J174" s="96">
        <f t="shared" si="8"/>
        <v>1</v>
      </c>
    </row>
    <row r="175" spans="1:10">
      <c r="A175" t="s">
        <v>1651</v>
      </c>
      <c r="H175" s="65">
        <f t="shared" si="6"/>
        <v>0</v>
      </c>
      <c r="I175" s="203">
        <f t="shared" si="7"/>
        <v>0</v>
      </c>
      <c r="J175" s="96" t="str">
        <f t="shared" si="8"/>
        <v/>
      </c>
    </row>
    <row r="176" spans="1:10">
      <c r="A176" t="s">
        <v>1652</v>
      </c>
      <c r="H176" s="65">
        <f t="shared" si="6"/>
        <v>0</v>
      </c>
      <c r="I176" s="203">
        <f t="shared" si="7"/>
        <v>0</v>
      </c>
      <c r="J176" s="96" t="str">
        <f t="shared" si="8"/>
        <v/>
      </c>
    </row>
    <row r="177" spans="1:10">
      <c r="A177" t="s">
        <v>1653</v>
      </c>
      <c r="H177" s="65">
        <f t="shared" si="6"/>
        <v>0</v>
      </c>
      <c r="I177" s="203">
        <f t="shared" si="7"/>
        <v>0</v>
      </c>
      <c r="J177" s="96" t="str">
        <f t="shared" si="8"/>
        <v/>
      </c>
    </row>
    <row r="178" spans="1:10">
      <c r="A178" t="s">
        <v>1654</v>
      </c>
      <c r="H178" s="65">
        <f t="shared" si="6"/>
        <v>0</v>
      </c>
      <c r="I178" s="203">
        <f t="shared" si="7"/>
        <v>0</v>
      </c>
      <c r="J178" s="96" t="str">
        <f t="shared" si="8"/>
        <v/>
      </c>
    </row>
    <row r="179" spans="1:10">
      <c r="A179" t="s">
        <v>1655</v>
      </c>
      <c r="H179" s="65">
        <f t="shared" si="6"/>
        <v>0</v>
      </c>
      <c r="I179" s="203">
        <f t="shared" si="7"/>
        <v>0</v>
      </c>
      <c r="J179" s="96" t="str">
        <f t="shared" si="8"/>
        <v/>
      </c>
    </row>
    <row r="180" spans="1:10">
      <c r="A180" t="s">
        <v>1656</v>
      </c>
      <c r="F180" s="96">
        <v>1</v>
      </c>
      <c r="H180" s="65">
        <f t="shared" si="6"/>
        <v>1</v>
      </c>
      <c r="I180" s="203">
        <f t="shared" si="7"/>
        <v>0.125</v>
      </c>
      <c r="J180" s="96">
        <f t="shared" si="8"/>
        <v>1</v>
      </c>
    </row>
    <row r="181" spans="1:10">
      <c r="A181" t="s">
        <v>1657</v>
      </c>
      <c r="F181" s="96">
        <v>1</v>
      </c>
      <c r="H181" s="65">
        <f t="shared" si="6"/>
        <v>1</v>
      </c>
      <c r="I181" s="203">
        <f t="shared" si="7"/>
        <v>0.125</v>
      </c>
      <c r="J181" s="96">
        <f t="shared" si="8"/>
        <v>1</v>
      </c>
    </row>
    <row r="182" spans="1:10">
      <c r="A182" t="s">
        <v>1658</v>
      </c>
      <c r="H182" s="65">
        <f t="shared" si="6"/>
        <v>0</v>
      </c>
      <c r="I182" s="203">
        <f t="shared" si="7"/>
        <v>0</v>
      </c>
      <c r="J182" s="96" t="str">
        <f t="shared" si="8"/>
        <v/>
      </c>
    </row>
    <row r="183" spans="1:10">
      <c r="A183" t="s">
        <v>1659</v>
      </c>
      <c r="E183" s="96">
        <v>1</v>
      </c>
      <c r="H183" s="65">
        <f t="shared" si="6"/>
        <v>1</v>
      </c>
      <c r="I183" s="203">
        <f t="shared" si="7"/>
        <v>0.125</v>
      </c>
      <c r="J183" s="96">
        <f t="shared" si="8"/>
        <v>1</v>
      </c>
    </row>
    <row r="184" spans="1:10">
      <c r="A184" t="s">
        <v>1660</v>
      </c>
      <c r="B184" s="96">
        <v>1</v>
      </c>
      <c r="E184" s="96">
        <v>1</v>
      </c>
      <c r="H184" s="65">
        <f t="shared" si="6"/>
        <v>2</v>
      </c>
      <c r="I184" s="203">
        <f t="shared" si="7"/>
        <v>0.25</v>
      </c>
      <c r="J184" s="96">
        <f t="shared" si="8"/>
        <v>2</v>
      </c>
    </row>
    <row r="185" spans="1:10">
      <c r="A185" t="s">
        <v>1661</v>
      </c>
      <c r="H185" s="65">
        <f t="shared" si="6"/>
        <v>0</v>
      </c>
      <c r="I185" s="203">
        <f t="shared" si="7"/>
        <v>0</v>
      </c>
      <c r="J185" s="96" t="str">
        <f t="shared" si="8"/>
        <v/>
      </c>
    </row>
    <row r="186" spans="1:10">
      <c r="A186" t="s">
        <v>1662</v>
      </c>
      <c r="C186" s="96">
        <v>1</v>
      </c>
      <c r="F186" s="96">
        <v>1</v>
      </c>
      <c r="H186" s="65">
        <f t="shared" si="6"/>
        <v>2</v>
      </c>
      <c r="I186" s="203">
        <f t="shared" si="7"/>
        <v>0.25</v>
      </c>
      <c r="J186" s="96">
        <f t="shared" si="8"/>
        <v>2</v>
      </c>
    </row>
    <row r="187" spans="1:10">
      <c r="A187" t="s">
        <v>1663</v>
      </c>
      <c r="B187" s="96">
        <v>1</v>
      </c>
      <c r="H187" s="65">
        <f t="shared" si="6"/>
        <v>1</v>
      </c>
      <c r="I187" s="203">
        <f t="shared" si="7"/>
        <v>0.125</v>
      </c>
      <c r="J187" s="96">
        <f t="shared" si="8"/>
        <v>1</v>
      </c>
    </row>
    <row r="188" spans="1:10">
      <c r="A188" t="s">
        <v>1664</v>
      </c>
      <c r="C188" s="96">
        <v>1</v>
      </c>
      <c r="D188" s="96">
        <v>1</v>
      </c>
      <c r="E188" s="96">
        <v>1</v>
      </c>
      <c r="F188" s="96">
        <v>1</v>
      </c>
      <c r="H188" s="65">
        <f t="shared" si="6"/>
        <v>4</v>
      </c>
      <c r="I188" s="203">
        <f t="shared" si="7"/>
        <v>0.5</v>
      </c>
      <c r="J188" s="96">
        <f t="shared" si="8"/>
        <v>4</v>
      </c>
    </row>
    <row r="189" spans="1:10">
      <c r="A189" t="s">
        <v>1665</v>
      </c>
      <c r="H189" s="65">
        <f t="shared" si="6"/>
        <v>0</v>
      </c>
      <c r="I189" s="203">
        <f t="shared" si="7"/>
        <v>0</v>
      </c>
      <c r="J189" s="96" t="str">
        <f t="shared" si="8"/>
        <v/>
      </c>
    </row>
    <row r="190" spans="1:10">
      <c r="A190" t="s">
        <v>1666</v>
      </c>
      <c r="B190" s="96">
        <v>1</v>
      </c>
      <c r="E190" s="96">
        <v>1</v>
      </c>
      <c r="F190" s="96">
        <v>1</v>
      </c>
      <c r="H190" s="65">
        <f t="shared" si="6"/>
        <v>3</v>
      </c>
      <c r="I190" s="203">
        <f t="shared" si="7"/>
        <v>0.375</v>
      </c>
      <c r="J190" s="96">
        <f t="shared" si="8"/>
        <v>3</v>
      </c>
    </row>
    <row r="191" spans="1:10">
      <c r="A191" t="s">
        <v>1667</v>
      </c>
      <c r="H191" s="65">
        <f t="shared" si="6"/>
        <v>0</v>
      </c>
      <c r="I191" s="203">
        <f t="shared" si="7"/>
        <v>0</v>
      </c>
      <c r="J191" s="96" t="str">
        <f t="shared" si="8"/>
        <v/>
      </c>
    </row>
    <row r="192" spans="1:10">
      <c r="A192" t="s">
        <v>1668</v>
      </c>
      <c r="H192" s="65">
        <f t="shared" si="6"/>
        <v>0</v>
      </c>
      <c r="I192" s="203">
        <f t="shared" si="7"/>
        <v>0</v>
      </c>
      <c r="J192" s="96" t="str">
        <f t="shared" si="8"/>
        <v/>
      </c>
    </row>
    <row r="193" spans="1:10">
      <c r="A193" t="s">
        <v>1669</v>
      </c>
      <c r="H193" s="65">
        <f t="shared" si="6"/>
        <v>0</v>
      </c>
      <c r="I193" s="203">
        <f t="shared" si="7"/>
        <v>0</v>
      </c>
      <c r="J193" s="96" t="str">
        <f t="shared" si="8"/>
        <v/>
      </c>
    </row>
    <row r="194" spans="1:10">
      <c r="J194" s="96" t="str">
        <f t="shared" si="8"/>
        <v/>
      </c>
    </row>
    <row r="195" spans="1:10">
      <c r="J195" s="96" t="str">
        <f t="shared" ref="J195:J258" si="9">+IF(H195=6,6,IF(H195=5,5,IF(H195=4,4,IF(H195=3,3,IF(H195=2,2,IF(H195=1,1,""))))))</f>
        <v/>
      </c>
    </row>
    <row r="196" spans="1:10">
      <c r="J196" s="96" t="str">
        <f t="shared" si="9"/>
        <v/>
      </c>
    </row>
    <row r="197" spans="1:10">
      <c r="J197" s="96" t="str">
        <f t="shared" si="9"/>
        <v/>
      </c>
    </row>
    <row r="198" spans="1:10">
      <c r="J198" s="96" t="str">
        <f t="shared" si="9"/>
        <v/>
      </c>
    </row>
    <row r="199" spans="1:10">
      <c r="J199" s="96" t="str">
        <f t="shared" si="9"/>
        <v/>
      </c>
    </row>
    <row r="200" spans="1:10">
      <c r="J200" s="96" t="str">
        <f t="shared" si="9"/>
        <v/>
      </c>
    </row>
    <row r="201" spans="1:10">
      <c r="J201" s="96" t="str">
        <f t="shared" si="9"/>
        <v/>
      </c>
    </row>
    <row r="202" spans="1:10">
      <c r="J202" s="96" t="str">
        <f t="shared" si="9"/>
        <v/>
      </c>
    </row>
    <row r="203" spans="1:10">
      <c r="J203" s="96" t="str">
        <f t="shared" si="9"/>
        <v/>
      </c>
    </row>
    <row r="204" spans="1:10">
      <c r="J204" s="96" t="str">
        <f t="shared" si="9"/>
        <v/>
      </c>
    </row>
    <row r="205" spans="1:10">
      <c r="J205" s="96" t="str">
        <f t="shared" si="9"/>
        <v/>
      </c>
    </row>
    <row r="206" spans="1:10">
      <c r="J206" s="96" t="str">
        <f t="shared" si="9"/>
        <v/>
      </c>
    </row>
    <row r="207" spans="1:10">
      <c r="J207" s="96" t="str">
        <f t="shared" si="9"/>
        <v/>
      </c>
    </row>
    <row r="208" spans="1:10">
      <c r="J208" s="96" t="str">
        <f t="shared" si="9"/>
        <v/>
      </c>
    </row>
    <row r="209" spans="10:10">
      <c r="J209" s="96" t="str">
        <f t="shared" si="9"/>
        <v/>
      </c>
    </row>
    <row r="210" spans="10:10">
      <c r="J210" s="96" t="str">
        <f t="shared" si="9"/>
        <v/>
      </c>
    </row>
    <row r="211" spans="10:10">
      <c r="J211" s="96" t="str">
        <f t="shared" si="9"/>
        <v/>
      </c>
    </row>
    <row r="212" spans="10:10">
      <c r="J212" s="96" t="str">
        <f t="shared" si="9"/>
        <v/>
      </c>
    </row>
    <row r="213" spans="10:10">
      <c r="J213" s="96" t="str">
        <f t="shared" si="9"/>
        <v/>
      </c>
    </row>
    <row r="214" spans="10:10">
      <c r="J214" s="96" t="str">
        <f t="shared" si="9"/>
        <v/>
      </c>
    </row>
    <row r="215" spans="10:10">
      <c r="J215" s="96" t="str">
        <f t="shared" si="9"/>
        <v/>
      </c>
    </row>
    <row r="216" spans="10:10">
      <c r="J216" s="96" t="str">
        <f t="shared" si="9"/>
        <v/>
      </c>
    </row>
    <row r="217" spans="10:10">
      <c r="J217" s="96" t="str">
        <f t="shared" si="9"/>
        <v/>
      </c>
    </row>
    <row r="218" spans="10:10">
      <c r="J218" s="96" t="str">
        <f t="shared" si="9"/>
        <v/>
      </c>
    </row>
    <row r="219" spans="10:10">
      <c r="J219" s="96" t="str">
        <f t="shared" si="9"/>
        <v/>
      </c>
    </row>
    <row r="220" spans="10:10">
      <c r="J220" s="96" t="str">
        <f t="shared" si="9"/>
        <v/>
      </c>
    </row>
    <row r="221" spans="10:10">
      <c r="J221" s="96" t="str">
        <f t="shared" si="9"/>
        <v/>
      </c>
    </row>
    <row r="222" spans="10:10">
      <c r="J222" s="96" t="str">
        <f t="shared" si="9"/>
        <v/>
      </c>
    </row>
    <row r="223" spans="10:10">
      <c r="J223" s="96" t="str">
        <f t="shared" si="9"/>
        <v/>
      </c>
    </row>
    <row r="224" spans="10:10">
      <c r="J224" s="96" t="str">
        <f t="shared" si="9"/>
        <v/>
      </c>
    </row>
    <row r="225" spans="10:10">
      <c r="J225" s="96" t="str">
        <f t="shared" si="9"/>
        <v/>
      </c>
    </row>
    <row r="226" spans="10:10">
      <c r="J226" s="96" t="str">
        <f t="shared" si="9"/>
        <v/>
      </c>
    </row>
    <row r="227" spans="10:10">
      <c r="J227" s="96" t="str">
        <f t="shared" si="9"/>
        <v/>
      </c>
    </row>
    <row r="228" spans="10:10">
      <c r="J228" s="96" t="str">
        <f t="shared" si="9"/>
        <v/>
      </c>
    </row>
    <row r="229" spans="10:10">
      <c r="J229" s="96" t="str">
        <f t="shared" si="9"/>
        <v/>
      </c>
    </row>
    <row r="230" spans="10:10">
      <c r="J230" s="96" t="str">
        <f t="shared" si="9"/>
        <v/>
      </c>
    </row>
    <row r="231" spans="10:10">
      <c r="J231" s="96" t="str">
        <f t="shared" si="9"/>
        <v/>
      </c>
    </row>
    <row r="232" spans="10:10">
      <c r="J232" s="96" t="str">
        <f t="shared" si="9"/>
        <v/>
      </c>
    </row>
    <row r="233" spans="10:10">
      <c r="J233" s="96" t="str">
        <f t="shared" si="9"/>
        <v/>
      </c>
    </row>
    <row r="234" spans="10:10">
      <c r="J234" s="96" t="str">
        <f t="shared" si="9"/>
        <v/>
      </c>
    </row>
    <row r="235" spans="10:10">
      <c r="J235" s="96" t="str">
        <f t="shared" si="9"/>
        <v/>
      </c>
    </row>
    <row r="236" spans="10:10">
      <c r="J236" s="96" t="str">
        <f t="shared" si="9"/>
        <v/>
      </c>
    </row>
    <row r="237" spans="10:10">
      <c r="J237" s="96" t="str">
        <f t="shared" si="9"/>
        <v/>
      </c>
    </row>
    <row r="238" spans="10:10">
      <c r="J238" s="96" t="str">
        <f t="shared" si="9"/>
        <v/>
      </c>
    </row>
    <row r="239" spans="10:10">
      <c r="J239" s="96" t="str">
        <f t="shared" si="9"/>
        <v/>
      </c>
    </row>
    <row r="240" spans="10:10">
      <c r="J240" s="96" t="str">
        <f t="shared" si="9"/>
        <v/>
      </c>
    </row>
    <row r="241" spans="10:10">
      <c r="J241" s="96" t="str">
        <f t="shared" si="9"/>
        <v/>
      </c>
    </row>
    <row r="242" spans="10:10">
      <c r="J242" s="96" t="str">
        <f t="shared" si="9"/>
        <v/>
      </c>
    </row>
    <row r="243" spans="10:10">
      <c r="J243" s="96" t="str">
        <f t="shared" si="9"/>
        <v/>
      </c>
    </row>
    <row r="244" spans="10:10">
      <c r="J244" s="96" t="str">
        <f t="shared" si="9"/>
        <v/>
      </c>
    </row>
    <row r="245" spans="10:10">
      <c r="J245" s="96" t="str">
        <f t="shared" si="9"/>
        <v/>
      </c>
    </row>
    <row r="246" spans="10:10">
      <c r="J246" s="96" t="str">
        <f t="shared" si="9"/>
        <v/>
      </c>
    </row>
    <row r="247" spans="10:10">
      <c r="J247" s="96" t="str">
        <f t="shared" si="9"/>
        <v/>
      </c>
    </row>
    <row r="248" spans="10:10">
      <c r="J248" s="96" t="str">
        <f t="shared" si="9"/>
        <v/>
      </c>
    </row>
    <row r="249" spans="10:10">
      <c r="J249" s="96" t="str">
        <f t="shared" si="9"/>
        <v/>
      </c>
    </row>
    <row r="250" spans="10:10">
      <c r="J250" s="96" t="str">
        <f t="shared" si="9"/>
        <v/>
      </c>
    </row>
    <row r="251" spans="10:10">
      <c r="J251" s="96" t="str">
        <f t="shared" si="9"/>
        <v/>
      </c>
    </row>
    <row r="252" spans="10:10">
      <c r="J252" s="96" t="str">
        <f t="shared" si="9"/>
        <v/>
      </c>
    </row>
    <row r="253" spans="10:10">
      <c r="J253" s="96" t="str">
        <f t="shared" si="9"/>
        <v/>
      </c>
    </row>
    <row r="254" spans="10:10">
      <c r="J254" s="96" t="str">
        <f t="shared" si="9"/>
        <v/>
      </c>
    </row>
    <row r="255" spans="10:10">
      <c r="J255" s="96" t="str">
        <f t="shared" si="9"/>
        <v/>
      </c>
    </row>
    <row r="256" spans="10:10">
      <c r="J256" s="96" t="str">
        <f t="shared" si="9"/>
        <v/>
      </c>
    </row>
    <row r="257" spans="10:10">
      <c r="J257" s="96" t="str">
        <f t="shared" si="9"/>
        <v/>
      </c>
    </row>
    <row r="258" spans="10:10">
      <c r="J258" s="96" t="str">
        <f t="shared" si="9"/>
        <v/>
      </c>
    </row>
    <row r="259" spans="10:10">
      <c r="J259" s="96" t="str">
        <f t="shared" ref="J259:J322" si="10">+IF(H259=6,6,IF(H259=5,5,IF(H259=4,4,IF(H259=3,3,IF(H259=2,2,IF(H259=1,1,""))))))</f>
        <v/>
      </c>
    </row>
    <row r="260" spans="10:10">
      <c r="J260" s="96" t="str">
        <f t="shared" si="10"/>
        <v/>
      </c>
    </row>
    <row r="261" spans="10:10">
      <c r="J261" s="96" t="str">
        <f t="shared" si="10"/>
        <v/>
      </c>
    </row>
    <row r="262" spans="10:10">
      <c r="J262" s="96" t="str">
        <f t="shared" si="10"/>
        <v/>
      </c>
    </row>
    <row r="263" spans="10:10">
      <c r="J263" s="96" t="str">
        <f t="shared" si="10"/>
        <v/>
      </c>
    </row>
    <row r="264" spans="10:10">
      <c r="J264" s="96" t="str">
        <f t="shared" si="10"/>
        <v/>
      </c>
    </row>
    <row r="265" spans="10:10">
      <c r="J265" s="96" t="str">
        <f t="shared" si="10"/>
        <v/>
      </c>
    </row>
    <row r="266" spans="10:10">
      <c r="J266" s="96" t="str">
        <f t="shared" si="10"/>
        <v/>
      </c>
    </row>
    <row r="267" spans="10:10">
      <c r="J267" s="96" t="str">
        <f t="shared" si="10"/>
        <v/>
      </c>
    </row>
    <row r="268" spans="10:10">
      <c r="J268" s="96" t="str">
        <f t="shared" si="10"/>
        <v/>
      </c>
    </row>
    <row r="269" spans="10:10">
      <c r="J269" s="96" t="str">
        <f t="shared" si="10"/>
        <v/>
      </c>
    </row>
    <row r="270" spans="10:10">
      <c r="J270" s="96" t="str">
        <f t="shared" si="10"/>
        <v/>
      </c>
    </row>
    <row r="271" spans="10:10">
      <c r="J271" s="96" t="str">
        <f t="shared" si="10"/>
        <v/>
      </c>
    </row>
    <row r="272" spans="10:10">
      <c r="J272" s="96" t="str">
        <f t="shared" si="10"/>
        <v/>
      </c>
    </row>
    <row r="273" spans="10:10">
      <c r="J273" s="96" t="str">
        <f t="shared" si="10"/>
        <v/>
      </c>
    </row>
    <row r="274" spans="10:10">
      <c r="J274" s="96" t="str">
        <f t="shared" si="10"/>
        <v/>
      </c>
    </row>
    <row r="275" spans="10:10">
      <c r="J275" s="96" t="str">
        <f t="shared" si="10"/>
        <v/>
      </c>
    </row>
    <row r="276" spans="10:10">
      <c r="J276" s="96" t="str">
        <f t="shared" si="10"/>
        <v/>
      </c>
    </row>
    <row r="277" spans="10:10">
      <c r="J277" s="96" t="str">
        <f t="shared" si="10"/>
        <v/>
      </c>
    </row>
    <row r="278" spans="10:10">
      <c r="J278" s="96" t="str">
        <f t="shared" si="10"/>
        <v/>
      </c>
    </row>
    <row r="279" spans="10:10">
      <c r="J279" s="96" t="str">
        <f t="shared" si="10"/>
        <v/>
      </c>
    </row>
    <row r="280" spans="10:10">
      <c r="J280" s="96" t="str">
        <f t="shared" si="10"/>
        <v/>
      </c>
    </row>
    <row r="281" spans="10:10">
      <c r="J281" s="96" t="str">
        <f t="shared" si="10"/>
        <v/>
      </c>
    </row>
    <row r="282" spans="10:10">
      <c r="J282" s="96" t="str">
        <f t="shared" si="10"/>
        <v/>
      </c>
    </row>
    <row r="283" spans="10:10">
      <c r="J283" s="96" t="str">
        <f t="shared" si="10"/>
        <v/>
      </c>
    </row>
    <row r="284" spans="10:10">
      <c r="J284" s="96" t="str">
        <f t="shared" si="10"/>
        <v/>
      </c>
    </row>
    <row r="285" spans="10:10">
      <c r="J285" s="96" t="str">
        <f t="shared" si="10"/>
        <v/>
      </c>
    </row>
    <row r="286" spans="10:10">
      <c r="J286" s="96" t="str">
        <f t="shared" si="10"/>
        <v/>
      </c>
    </row>
    <row r="287" spans="10:10">
      <c r="J287" s="96" t="str">
        <f t="shared" si="10"/>
        <v/>
      </c>
    </row>
    <row r="288" spans="10:10">
      <c r="J288" s="96" t="str">
        <f t="shared" si="10"/>
        <v/>
      </c>
    </row>
    <row r="289" spans="10:10">
      <c r="J289" s="96" t="str">
        <f t="shared" si="10"/>
        <v/>
      </c>
    </row>
    <row r="290" spans="10:10">
      <c r="J290" s="96" t="str">
        <f t="shared" si="10"/>
        <v/>
      </c>
    </row>
    <row r="291" spans="10:10">
      <c r="J291" s="96" t="str">
        <f t="shared" si="10"/>
        <v/>
      </c>
    </row>
    <row r="292" spans="10:10">
      <c r="J292" s="96" t="str">
        <f t="shared" si="10"/>
        <v/>
      </c>
    </row>
    <row r="293" spans="10:10">
      <c r="J293" s="96" t="str">
        <f t="shared" si="10"/>
        <v/>
      </c>
    </row>
    <row r="294" spans="10:10">
      <c r="J294" s="96" t="str">
        <f t="shared" si="10"/>
        <v/>
      </c>
    </row>
    <row r="295" spans="10:10">
      <c r="J295" s="96" t="str">
        <f t="shared" si="10"/>
        <v/>
      </c>
    </row>
    <row r="296" spans="10:10">
      <c r="J296" s="96" t="str">
        <f t="shared" si="10"/>
        <v/>
      </c>
    </row>
    <row r="297" spans="10:10">
      <c r="J297" s="96" t="str">
        <f t="shared" si="10"/>
        <v/>
      </c>
    </row>
    <row r="298" spans="10:10">
      <c r="J298" s="96" t="str">
        <f t="shared" si="10"/>
        <v/>
      </c>
    </row>
    <row r="299" spans="10:10">
      <c r="J299" s="96" t="str">
        <f t="shared" si="10"/>
        <v/>
      </c>
    </row>
    <row r="300" spans="10:10">
      <c r="J300" s="96" t="str">
        <f t="shared" si="10"/>
        <v/>
      </c>
    </row>
    <row r="301" spans="10:10">
      <c r="J301" s="96" t="str">
        <f t="shared" si="10"/>
        <v/>
      </c>
    </row>
    <row r="302" spans="10:10">
      <c r="J302" s="96" t="str">
        <f t="shared" si="10"/>
        <v/>
      </c>
    </row>
    <row r="303" spans="10:10">
      <c r="J303" s="96" t="str">
        <f t="shared" si="10"/>
        <v/>
      </c>
    </row>
    <row r="304" spans="10:10">
      <c r="J304" s="96" t="str">
        <f t="shared" si="10"/>
        <v/>
      </c>
    </row>
    <row r="305" spans="10:10">
      <c r="J305" s="96" t="str">
        <f t="shared" si="10"/>
        <v/>
      </c>
    </row>
    <row r="306" spans="10:10">
      <c r="J306" s="96" t="str">
        <f t="shared" si="10"/>
        <v/>
      </c>
    </row>
    <row r="307" spans="10:10">
      <c r="J307" s="96" t="str">
        <f t="shared" si="10"/>
        <v/>
      </c>
    </row>
    <row r="308" spans="10:10">
      <c r="J308" s="96" t="str">
        <f t="shared" si="10"/>
        <v/>
      </c>
    </row>
    <row r="309" spans="10:10">
      <c r="J309" s="96" t="str">
        <f t="shared" si="10"/>
        <v/>
      </c>
    </row>
    <row r="310" spans="10:10">
      <c r="J310" s="96" t="str">
        <f t="shared" si="10"/>
        <v/>
      </c>
    </row>
    <row r="311" spans="10:10">
      <c r="J311" s="96" t="str">
        <f t="shared" si="10"/>
        <v/>
      </c>
    </row>
    <row r="312" spans="10:10">
      <c r="J312" s="96" t="str">
        <f t="shared" si="10"/>
        <v/>
      </c>
    </row>
    <row r="313" spans="10:10">
      <c r="J313" s="96" t="str">
        <f t="shared" si="10"/>
        <v/>
      </c>
    </row>
    <row r="314" spans="10:10">
      <c r="J314" s="96" t="str">
        <f t="shared" si="10"/>
        <v/>
      </c>
    </row>
    <row r="315" spans="10:10">
      <c r="J315" s="96" t="str">
        <f t="shared" si="10"/>
        <v/>
      </c>
    </row>
    <row r="316" spans="10:10">
      <c r="J316" s="96" t="str">
        <f t="shared" si="10"/>
        <v/>
      </c>
    </row>
    <row r="317" spans="10:10">
      <c r="J317" s="96" t="str">
        <f t="shared" si="10"/>
        <v/>
      </c>
    </row>
    <row r="318" spans="10:10">
      <c r="J318" s="96" t="str">
        <f t="shared" si="10"/>
        <v/>
      </c>
    </row>
    <row r="319" spans="10:10">
      <c r="J319" s="96" t="str">
        <f t="shared" si="10"/>
        <v/>
      </c>
    </row>
    <row r="320" spans="10:10">
      <c r="J320" s="96" t="str">
        <f t="shared" si="10"/>
        <v/>
      </c>
    </row>
    <row r="321" spans="10:10">
      <c r="J321" s="96" t="str">
        <f t="shared" si="10"/>
        <v/>
      </c>
    </row>
    <row r="322" spans="10:10">
      <c r="J322" s="96" t="str">
        <f t="shared" si="10"/>
        <v/>
      </c>
    </row>
    <row r="323" spans="10:10">
      <c r="J323" s="96" t="str">
        <f t="shared" ref="J323:J386" si="11">+IF(H323=6,6,IF(H323=5,5,IF(H323=4,4,IF(H323=3,3,IF(H323=2,2,IF(H323=1,1,""))))))</f>
        <v/>
      </c>
    </row>
    <row r="324" spans="10:10">
      <c r="J324" s="96" t="str">
        <f t="shared" si="11"/>
        <v/>
      </c>
    </row>
    <row r="325" spans="10:10">
      <c r="J325" s="96" t="str">
        <f t="shared" si="11"/>
        <v/>
      </c>
    </row>
    <row r="326" spans="10:10">
      <c r="J326" s="96" t="str">
        <f t="shared" si="11"/>
        <v/>
      </c>
    </row>
    <row r="327" spans="10:10">
      <c r="J327" s="96" t="str">
        <f t="shared" si="11"/>
        <v/>
      </c>
    </row>
    <row r="328" spans="10:10">
      <c r="J328" s="96" t="str">
        <f t="shared" si="11"/>
        <v/>
      </c>
    </row>
    <row r="329" spans="10:10">
      <c r="J329" s="96" t="str">
        <f t="shared" si="11"/>
        <v/>
      </c>
    </row>
    <row r="330" spans="10:10">
      <c r="J330" s="96" t="str">
        <f t="shared" si="11"/>
        <v/>
      </c>
    </row>
    <row r="331" spans="10:10">
      <c r="J331" s="96" t="str">
        <f t="shared" si="11"/>
        <v/>
      </c>
    </row>
    <row r="332" spans="10:10">
      <c r="J332" s="96" t="str">
        <f t="shared" si="11"/>
        <v/>
      </c>
    </row>
    <row r="333" spans="10:10">
      <c r="J333" s="96" t="str">
        <f t="shared" si="11"/>
        <v/>
      </c>
    </row>
    <row r="334" spans="10:10">
      <c r="J334" s="96" t="str">
        <f t="shared" si="11"/>
        <v/>
      </c>
    </row>
    <row r="335" spans="10:10">
      <c r="J335" s="96" t="str">
        <f t="shared" si="11"/>
        <v/>
      </c>
    </row>
    <row r="336" spans="10:10">
      <c r="J336" s="96" t="str">
        <f t="shared" si="11"/>
        <v/>
      </c>
    </row>
    <row r="337" spans="10:10">
      <c r="J337" s="96" t="str">
        <f t="shared" si="11"/>
        <v/>
      </c>
    </row>
    <row r="338" spans="10:10">
      <c r="J338" s="96" t="str">
        <f t="shared" si="11"/>
        <v/>
      </c>
    </row>
    <row r="339" spans="10:10">
      <c r="J339" s="96" t="str">
        <f t="shared" si="11"/>
        <v/>
      </c>
    </row>
    <row r="340" spans="10:10">
      <c r="J340" s="96" t="str">
        <f t="shared" si="11"/>
        <v/>
      </c>
    </row>
    <row r="341" spans="10:10">
      <c r="J341" s="96" t="str">
        <f t="shared" si="11"/>
        <v/>
      </c>
    </row>
    <row r="342" spans="10:10">
      <c r="J342" s="96" t="str">
        <f t="shared" si="11"/>
        <v/>
      </c>
    </row>
    <row r="343" spans="10:10">
      <c r="J343" s="96" t="str">
        <f t="shared" si="11"/>
        <v/>
      </c>
    </row>
    <row r="344" spans="10:10">
      <c r="J344" s="96" t="str">
        <f t="shared" si="11"/>
        <v/>
      </c>
    </row>
    <row r="345" spans="10:10">
      <c r="J345" s="96" t="str">
        <f t="shared" si="11"/>
        <v/>
      </c>
    </row>
    <row r="346" spans="10:10">
      <c r="J346" s="96" t="str">
        <f t="shared" si="11"/>
        <v/>
      </c>
    </row>
    <row r="347" spans="10:10">
      <c r="J347" s="96" t="str">
        <f t="shared" si="11"/>
        <v/>
      </c>
    </row>
    <row r="348" spans="10:10">
      <c r="J348" s="96" t="str">
        <f t="shared" si="11"/>
        <v/>
      </c>
    </row>
    <row r="349" spans="10:10">
      <c r="J349" s="96" t="str">
        <f t="shared" si="11"/>
        <v/>
      </c>
    </row>
    <row r="350" spans="10:10">
      <c r="J350" s="96" t="str">
        <f t="shared" si="11"/>
        <v/>
      </c>
    </row>
    <row r="351" spans="10:10">
      <c r="J351" s="96" t="str">
        <f t="shared" si="11"/>
        <v/>
      </c>
    </row>
    <row r="352" spans="10:10">
      <c r="J352" s="96" t="str">
        <f t="shared" si="11"/>
        <v/>
      </c>
    </row>
    <row r="353" spans="10:10">
      <c r="J353" s="96" t="str">
        <f t="shared" si="11"/>
        <v/>
      </c>
    </row>
    <row r="354" spans="10:10">
      <c r="J354" s="96" t="str">
        <f t="shared" si="11"/>
        <v/>
      </c>
    </row>
    <row r="355" spans="10:10">
      <c r="J355" s="96" t="str">
        <f t="shared" si="11"/>
        <v/>
      </c>
    </row>
    <row r="356" spans="10:10">
      <c r="J356" s="96" t="str">
        <f t="shared" si="11"/>
        <v/>
      </c>
    </row>
    <row r="357" spans="10:10">
      <c r="J357" s="96" t="str">
        <f t="shared" si="11"/>
        <v/>
      </c>
    </row>
    <row r="358" spans="10:10">
      <c r="J358" s="96" t="str">
        <f t="shared" si="11"/>
        <v/>
      </c>
    </row>
    <row r="359" spans="10:10">
      <c r="J359" s="96" t="str">
        <f t="shared" si="11"/>
        <v/>
      </c>
    </row>
    <row r="360" spans="10:10">
      <c r="J360" s="96" t="str">
        <f t="shared" si="11"/>
        <v/>
      </c>
    </row>
    <row r="361" spans="10:10">
      <c r="J361" s="96" t="str">
        <f t="shared" si="11"/>
        <v/>
      </c>
    </row>
    <row r="362" spans="10:10">
      <c r="J362" s="96" t="str">
        <f t="shared" si="11"/>
        <v/>
      </c>
    </row>
    <row r="363" spans="10:10">
      <c r="J363" s="96" t="str">
        <f t="shared" si="11"/>
        <v/>
      </c>
    </row>
    <row r="364" spans="10:10">
      <c r="J364" s="96" t="str">
        <f t="shared" si="11"/>
        <v/>
      </c>
    </row>
    <row r="365" spans="10:10">
      <c r="J365" s="96" t="str">
        <f t="shared" si="11"/>
        <v/>
      </c>
    </row>
    <row r="366" spans="10:10">
      <c r="J366" s="96" t="str">
        <f t="shared" si="11"/>
        <v/>
      </c>
    </row>
    <row r="367" spans="10:10">
      <c r="J367" s="96" t="str">
        <f t="shared" si="11"/>
        <v/>
      </c>
    </row>
    <row r="368" spans="10:10">
      <c r="J368" s="96" t="str">
        <f t="shared" si="11"/>
        <v/>
      </c>
    </row>
    <row r="369" spans="10:10">
      <c r="J369" s="96" t="str">
        <f t="shared" si="11"/>
        <v/>
      </c>
    </row>
    <row r="370" spans="10:10">
      <c r="J370" s="96" t="str">
        <f t="shared" si="11"/>
        <v/>
      </c>
    </row>
    <row r="371" spans="10:10">
      <c r="J371" s="96" t="str">
        <f t="shared" si="11"/>
        <v/>
      </c>
    </row>
    <row r="372" spans="10:10">
      <c r="J372" s="96" t="str">
        <f t="shared" si="11"/>
        <v/>
      </c>
    </row>
    <row r="373" spans="10:10">
      <c r="J373" s="96" t="str">
        <f t="shared" si="11"/>
        <v/>
      </c>
    </row>
    <row r="374" spans="10:10">
      <c r="J374" s="96" t="str">
        <f t="shared" si="11"/>
        <v/>
      </c>
    </row>
    <row r="375" spans="10:10">
      <c r="J375" s="96" t="str">
        <f t="shared" si="11"/>
        <v/>
      </c>
    </row>
    <row r="376" spans="10:10">
      <c r="J376" s="96" t="str">
        <f t="shared" si="11"/>
        <v/>
      </c>
    </row>
    <row r="377" spans="10:10">
      <c r="J377" s="96" t="str">
        <f t="shared" si="11"/>
        <v/>
      </c>
    </row>
    <row r="378" spans="10:10">
      <c r="J378" s="96" t="str">
        <f t="shared" si="11"/>
        <v/>
      </c>
    </row>
    <row r="379" spans="10:10">
      <c r="J379" s="96" t="str">
        <f t="shared" si="11"/>
        <v/>
      </c>
    </row>
    <row r="380" spans="10:10">
      <c r="J380" s="96" t="str">
        <f t="shared" si="11"/>
        <v/>
      </c>
    </row>
    <row r="381" spans="10:10">
      <c r="J381" s="96" t="str">
        <f t="shared" si="11"/>
        <v/>
      </c>
    </row>
    <row r="382" spans="10:10">
      <c r="J382" s="96" t="str">
        <f t="shared" si="11"/>
        <v/>
      </c>
    </row>
    <row r="383" spans="10:10">
      <c r="J383" s="96" t="str">
        <f t="shared" si="11"/>
        <v/>
      </c>
    </row>
    <row r="384" spans="10:10">
      <c r="J384" s="96" t="str">
        <f t="shared" si="11"/>
        <v/>
      </c>
    </row>
    <row r="385" spans="10:10">
      <c r="J385" s="96" t="str">
        <f t="shared" si="11"/>
        <v/>
      </c>
    </row>
    <row r="386" spans="10:10">
      <c r="J386" s="96" t="str">
        <f t="shared" si="11"/>
        <v/>
      </c>
    </row>
    <row r="387" spans="10:10">
      <c r="J387" s="96" t="str">
        <f t="shared" ref="J387:J390" si="12">+IF(H387=6,6,IF(H387=5,5,IF(H387=4,4,IF(H387=3,3,IF(H387=2,2,IF(H387=1,1,""))))))</f>
        <v/>
      </c>
    </row>
    <row r="388" spans="10:10">
      <c r="J388" s="96" t="str">
        <f t="shared" si="12"/>
        <v/>
      </c>
    </row>
    <row r="389" spans="10:10">
      <c r="J389" s="96" t="str">
        <f t="shared" si="12"/>
        <v/>
      </c>
    </row>
    <row r="390" spans="10:10">
      <c r="J390" s="96" t="str">
        <f t="shared" si="12"/>
        <v/>
      </c>
    </row>
  </sheetData>
  <autoFilter ref="A1:L390"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3" tint="0.59999389629810485"/>
    <pageSetUpPr fitToPage="1"/>
  </sheetPr>
  <dimension ref="A1:O64"/>
  <sheetViews>
    <sheetView showZeros="0" workbookViewId="0">
      <selection activeCell="E1" sqref="E1"/>
    </sheetView>
  </sheetViews>
  <sheetFormatPr baseColWidth="10" defaultColWidth="11.42578125" defaultRowHeight="15"/>
  <cols>
    <col min="1" max="1" width="25.5703125" customWidth="1" collapsed="1"/>
    <col min="2" max="2" width="19" customWidth="1" collapsed="1"/>
    <col min="3" max="4" width="14" customWidth="1" collapsed="1"/>
    <col min="5" max="5" width="14.140625" customWidth="1" collapsed="1"/>
    <col min="6" max="8" width="9.5703125" customWidth="1" collapsed="1"/>
    <col min="9" max="9" width="12.28515625" customWidth="1" collapsed="1"/>
    <col min="10" max="15" width="9.5703125" customWidth="1" collapsed="1"/>
  </cols>
  <sheetData>
    <row r="1" spans="1:10">
      <c r="A1" s="6" t="s">
        <v>0</v>
      </c>
    </row>
    <row r="2" spans="1:10">
      <c r="A2" s="6" t="s">
        <v>1678</v>
      </c>
    </row>
    <row r="3" spans="1:10">
      <c r="A3" s="6" t="s">
        <v>1677</v>
      </c>
    </row>
    <row r="4" spans="1:10">
      <c r="A4" s="6" t="s">
        <v>1674</v>
      </c>
    </row>
    <row r="6" spans="1:10">
      <c r="A6" s="6" t="s">
        <v>35</v>
      </c>
      <c r="B6" t="str">
        <f>+CONCATENATE(IF(FORMULARIO!C31="N/A","",FORMULARIO!C31)," ",IF(FORMULARIO!C32="N/A","",FORMULARIO!C32)," ",IF(FORMULARIO!C33="N/A","",FORMULARIO!C33)," ",IF(FORMULARIO!C34="N/A","",FORMULARIO!C34)," ",IF(FORMULARIO!C35="N/A","",FORMULARIO!C35))</f>
        <v xml:space="preserve">    </v>
      </c>
    </row>
    <row r="7" spans="1:10">
      <c r="A7" s="6" t="s">
        <v>1693</v>
      </c>
      <c r="B7" s="8">
        <f>+FORMULARIO!C40</f>
        <v>0</v>
      </c>
    </row>
    <row r="8" spans="1:10">
      <c r="A8" s="6" t="s">
        <v>39</v>
      </c>
      <c r="B8">
        <f>+FORMULARIO!C19</f>
        <v>0</v>
      </c>
    </row>
    <row r="9" spans="1:10">
      <c r="A9" s="6" t="s">
        <v>40</v>
      </c>
      <c r="B9">
        <f>+FORMULARIO!C20</f>
        <v>0</v>
      </c>
    </row>
    <row r="10" spans="1:10">
      <c r="A10" s="6" t="s">
        <v>42</v>
      </c>
      <c r="B10" s="8">
        <f>+FORMULARIO!C21</f>
        <v>0</v>
      </c>
    </row>
    <row r="11" spans="1:10">
      <c r="A11" s="6" t="s">
        <v>34</v>
      </c>
      <c r="B11">
        <f>+FORMULARIO!C22</f>
        <v>0</v>
      </c>
    </row>
    <row r="12" spans="1:10">
      <c r="A12" s="6" t="s">
        <v>1338</v>
      </c>
      <c r="B12">
        <f>+FORMULARIO!C28</f>
        <v>0</v>
      </c>
    </row>
    <row r="13" spans="1:10">
      <c r="A13" s="6" t="s">
        <v>1679</v>
      </c>
      <c r="B13" s="8">
        <f>+FORMULARIO!C29</f>
        <v>0</v>
      </c>
    </row>
    <row r="14" spans="1:10">
      <c r="A14" s="6"/>
      <c r="B14" s="8"/>
    </row>
    <row r="15" spans="1:10" ht="15.75" thickBot="1"/>
    <row r="16" spans="1:10" ht="21" customHeight="1">
      <c r="B16" s="451" t="s">
        <v>1680</v>
      </c>
      <c r="C16" s="452"/>
      <c r="D16" s="447" t="s">
        <v>1696</v>
      </c>
      <c r="E16" s="448"/>
      <c r="F16" s="205"/>
      <c r="G16" s="205"/>
      <c r="H16" s="206"/>
      <c r="I16" s="206"/>
      <c r="J16" s="206"/>
    </row>
    <row r="17" spans="1:12" ht="27" thickBot="1">
      <c r="B17" s="449">
        <f>+H27</f>
        <v>0</v>
      </c>
      <c r="C17" s="450"/>
      <c r="D17" s="453" t="str">
        <f>+IF(AND(B17&gt;0,B17&lt;=5.4),"DEFICIENTE",IF(AND(B17&gt;5.5,B17&lt;=11.5),"SUFICIENTE",""))</f>
        <v/>
      </c>
      <c r="E17" s="454"/>
      <c r="F17" s="207"/>
      <c r="G17" s="207"/>
      <c r="H17" s="208"/>
      <c r="I17" s="208"/>
      <c r="J17" s="208"/>
    </row>
    <row r="21" spans="1:12" s="43" customFormat="1" ht="30">
      <c r="A21" s="455" t="s">
        <v>1681</v>
      </c>
      <c r="B21" s="455"/>
      <c r="C21" s="455"/>
      <c r="D21" s="455"/>
      <c r="E21" s="209" t="s">
        <v>1682</v>
      </c>
      <c r="F21" s="209" t="s">
        <v>1683</v>
      </c>
      <c r="G21" s="209" t="s">
        <v>1684</v>
      </c>
      <c r="H21" s="209" t="s">
        <v>1685</v>
      </c>
      <c r="I21" s="209" t="s">
        <v>1697</v>
      </c>
      <c r="J21" s="209" t="s">
        <v>1700</v>
      </c>
    </row>
    <row r="22" spans="1:12">
      <c r="A22" s="210" t="s">
        <v>1468</v>
      </c>
      <c r="B22" s="211" t="s">
        <v>1694</v>
      </c>
      <c r="C22" s="26"/>
      <c r="D22" s="93"/>
      <c r="E22" s="212">
        <f>+Cumplimiento!K9</f>
        <v>0</v>
      </c>
      <c r="F22" s="213">
        <f>+Cumplimiento!L9</f>
        <v>0</v>
      </c>
      <c r="G22" s="214">
        <v>0.05</v>
      </c>
      <c r="H22" s="240">
        <f>+E22*G22</f>
        <v>0</v>
      </c>
      <c r="I22" s="215" t="str">
        <f>+IF(AND(H22&gt;=0,H22&lt;=0.98),"DEFICIENTE",IF(AND(H22&gt;=0.99,H22&lt;=1.2),"SUFICIENTE",""))</f>
        <v>DEFICIENTE</v>
      </c>
      <c r="J22" s="232">
        <v>1.2</v>
      </c>
      <c r="L22" s="239"/>
    </row>
    <row r="23" spans="1:12" ht="15" customHeight="1">
      <c r="A23" s="210" t="s">
        <v>1470</v>
      </c>
      <c r="B23" s="211" t="s">
        <v>1695</v>
      </c>
      <c r="C23" s="26"/>
      <c r="D23" s="93"/>
      <c r="E23" s="216">
        <f>+Cumplimiento!K33</f>
        <v>0</v>
      </c>
      <c r="F23" s="217">
        <f>+Cumplimiento!L33</f>
        <v>0</v>
      </c>
      <c r="G23" s="195">
        <v>0.05</v>
      </c>
      <c r="H23" s="240">
        <f>+E23*G23</f>
        <v>0</v>
      </c>
      <c r="I23" s="215" t="str">
        <f>+IF(AND(H23&gt;=0,H23&lt;=0.34),"DEFICIENTE",IF(AND(H23&gt;=0.35,H23&lt;=0.41),"SUFICIENTE",""))</f>
        <v>DEFICIENTE</v>
      </c>
      <c r="J23" s="232">
        <v>0.4</v>
      </c>
      <c r="L23" s="239"/>
    </row>
    <row r="24" spans="1:12">
      <c r="A24" s="210" t="s">
        <v>1471</v>
      </c>
      <c r="B24" s="211" t="s">
        <v>1686</v>
      </c>
      <c r="C24" s="26"/>
      <c r="D24" s="93"/>
      <c r="E24" s="216">
        <f>+Cumplimiento!K43</f>
        <v>0</v>
      </c>
      <c r="F24" s="217">
        <f>+Cumplimiento!L43</f>
        <v>0</v>
      </c>
      <c r="G24" s="195">
        <v>0.2</v>
      </c>
      <c r="H24" s="240">
        <f>+E24*G24</f>
        <v>0</v>
      </c>
      <c r="I24" s="215" t="str">
        <f>+IF(AND(H24&gt;=0,H24&lt;=1.17),"DEFICIENTE",IF(AND(H24&gt;=1.18,H24&lt;=1.43),"SUFICIENTE",""))</f>
        <v>DEFICIENTE</v>
      </c>
      <c r="J24" s="232">
        <v>1.4000000000000001</v>
      </c>
      <c r="L24" s="239"/>
    </row>
    <row r="25" spans="1:12">
      <c r="A25" s="210" t="s">
        <v>1481</v>
      </c>
      <c r="B25" s="211" t="s">
        <v>1687</v>
      </c>
      <c r="C25" s="26"/>
      <c r="D25" s="93"/>
      <c r="E25" s="216">
        <f>+Cumplimiento!K63</f>
        <v>0</v>
      </c>
      <c r="F25" s="217">
        <f>+Cumplimiento!L63</f>
        <v>0</v>
      </c>
      <c r="G25" s="195">
        <v>0.2</v>
      </c>
      <c r="H25" s="240">
        <f>+E25*G25</f>
        <v>0</v>
      </c>
      <c r="I25" s="215" t="str">
        <f>+IF(AND(H25&gt;=0,H25&lt;=0.74),"DEFICIENTE",IF(AND(H25&gt;=0.75,H25&lt;=2.41),"SUFICIENTE",""))</f>
        <v>DEFICIENTE</v>
      </c>
      <c r="J25" s="232">
        <v>2.4</v>
      </c>
      <c r="L25" s="239"/>
    </row>
    <row r="26" spans="1:12">
      <c r="A26" s="210" t="s">
        <v>1487</v>
      </c>
      <c r="B26" s="211" t="s">
        <v>1688</v>
      </c>
      <c r="C26" s="26"/>
      <c r="D26" s="93"/>
      <c r="E26" s="216">
        <f>+Cumplimiento!K80</f>
        <v>0</v>
      </c>
      <c r="F26" s="217">
        <f>+Cumplimiento!L80</f>
        <v>0</v>
      </c>
      <c r="G26" s="195">
        <v>0.5</v>
      </c>
      <c r="H26" s="240">
        <f>+E26*G26</f>
        <v>0</v>
      </c>
      <c r="I26" s="215" t="str">
        <f>+IF(AND(H26&gt;=0,H26&lt;=2.4),"DEFICIENTE",IF(AND(H26&gt;=2.5,H26&lt;=6.1),"SUFICIENTE",""))</f>
        <v>DEFICIENTE</v>
      </c>
      <c r="J26" s="232">
        <v>6</v>
      </c>
      <c r="L26" s="239"/>
    </row>
    <row r="27" spans="1:12" ht="15.75" thickBot="1">
      <c r="E27" s="218">
        <f>SUM(E22:E26)</f>
        <v>0</v>
      </c>
      <c r="F27" s="233"/>
      <c r="G27" s="230">
        <f>SUM(G22:G26)</f>
        <v>1</v>
      </c>
      <c r="H27" s="219">
        <f>SUM(H22:H26)</f>
        <v>0</v>
      </c>
      <c r="I27" s="219"/>
      <c r="J27" s="219">
        <f>SUM(J22:J26)</f>
        <v>11.4</v>
      </c>
    </row>
    <row r="28" spans="1:12" ht="15.75" thickTop="1"/>
    <row r="31" spans="1:12" ht="24" customHeight="1">
      <c r="A31" s="444" t="s">
        <v>1698</v>
      </c>
      <c r="B31" s="445"/>
      <c r="C31" s="445"/>
      <c r="D31" s="446"/>
    </row>
    <row r="32" spans="1:12" ht="24" customHeight="1">
      <c r="A32" s="444" t="s">
        <v>1689</v>
      </c>
      <c r="B32" s="446"/>
      <c r="C32" s="445" t="s">
        <v>1690</v>
      </c>
      <c r="D32" s="446"/>
    </row>
    <row r="33" spans="1:4">
      <c r="A33" s="220" t="s">
        <v>1161</v>
      </c>
      <c r="B33" s="221" t="s">
        <v>1691</v>
      </c>
      <c r="C33" s="221">
        <v>6</v>
      </c>
      <c r="D33" s="221">
        <v>11</v>
      </c>
    </row>
    <row r="34" spans="1:4" ht="15.75" thickBot="1">
      <c r="A34" s="231" t="s">
        <v>1481</v>
      </c>
      <c r="B34" s="223" t="s">
        <v>1692</v>
      </c>
      <c r="C34" s="245">
        <v>0.01</v>
      </c>
      <c r="D34" s="223">
        <v>5</v>
      </c>
    </row>
    <row r="40" spans="1:4">
      <c r="A40" s="173" t="s">
        <v>157</v>
      </c>
      <c r="B40" t="str">
        <f>+FORMULARIO!$C$16</f>
        <v/>
      </c>
    </row>
    <row r="41" spans="1:4">
      <c r="A41" s="173"/>
    </row>
    <row r="42" spans="1:4">
      <c r="A42" s="443" t="s">
        <v>1364</v>
      </c>
    </row>
    <row r="43" spans="1:4">
      <c r="A43" s="443"/>
      <c r="B43" t="s">
        <v>161</v>
      </c>
    </row>
    <row r="46" spans="1:4">
      <c r="A46" s="173" t="s">
        <v>1400</v>
      </c>
      <c r="B46" t="str">
        <f>+FORMULARIO!$C$17</f>
        <v/>
      </c>
    </row>
    <row r="47" spans="1:4">
      <c r="A47" s="173"/>
    </row>
    <row r="48" spans="1:4">
      <c r="A48" s="443" t="s">
        <v>1364</v>
      </c>
    </row>
    <row r="49" spans="1:11">
      <c r="A49" s="443"/>
      <c r="B49" t="s">
        <v>161</v>
      </c>
    </row>
    <row r="58" spans="1:11" hidden="1">
      <c r="A58" s="456" t="s">
        <v>1468</v>
      </c>
      <c r="B58" s="457"/>
      <c r="C58" s="458" t="s">
        <v>1470</v>
      </c>
      <c r="D58" s="459"/>
      <c r="E58" s="460" t="s">
        <v>1471</v>
      </c>
      <c r="F58" s="461"/>
      <c r="G58" s="462" t="s">
        <v>1481</v>
      </c>
      <c r="H58" s="463"/>
      <c r="I58" s="229"/>
      <c r="J58" s="464" t="s">
        <v>1487</v>
      </c>
      <c r="K58" s="465"/>
    </row>
    <row r="59" spans="1:11" hidden="1">
      <c r="A59" s="224">
        <v>0</v>
      </c>
      <c r="B59" s="226">
        <f>+($J$22/11)*$D$34</f>
        <v>0.54545454545454541</v>
      </c>
      <c r="C59" s="224">
        <v>0</v>
      </c>
      <c r="D59" s="226">
        <f>+($J$23/$J$27)*$D$34</f>
        <v>0.17543859649122806</v>
      </c>
      <c r="E59" s="224">
        <v>0</v>
      </c>
      <c r="F59" s="226">
        <f>+($J$24/$J$27)*$D$34</f>
        <v>0.61403508771929827</v>
      </c>
      <c r="G59" s="224">
        <v>0</v>
      </c>
      <c r="H59" s="226">
        <f>+($J$25/$J$27)*$D$34</f>
        <v>1.0526315789473684</v>
      </c>
      <c r="I59" s="226"/>
      <c r="J59" s="224">
        <v>0</v>
      </c>
      <c r="K59" s="226">
        <f>+($J$26/$J$27)*$D$34</f>
        <v>2.6315789473684208</v>
      </c>
    </row>
    <row r="60" spans="1:11" hidden="1">
      <c r="A60" s="222">
        <v>0.66</v>
      </c>
      <c r="B60" s="227" t="e">
        <f>+($J$22/11)*#REF!</f>
        <v>#REF!</v>
      </c>
      <c r="C60" s="222">
        <v>0.23</v>
      </c>
      <c r="D60" s="227" t="e">
        <f>+($J$23/$J$27)*#REF!</f>
        <v>#REF!</v>
      </c>
      <c r="E60" s="222">
        <v>0.79</v>
      </c>
      <c r="F60" s="227" t="e">
        <f>+($J$24/$J$27)*#REF!</f>
        <v>#REF!</v>
      </c>
      <c r="G60" s="222">
        <v>1.27</v>
      </c>
      <c r="H60" s="227" t="e">
        <f>+($J$25/$J$27)*#REF!</f>
        <v>#REF!</v>
      </c>
      <c r="I60" s="227"/>
      <c r="J60" s="222">
        <v>3.17</v>
      </c>
      <c r="K60" s="227" t="e">
        <f>+($J$26/$J$27)*#REF!</f>
        <v>#REF!</v>
      </c>
    </row>
    <row r="61" spans="1:11" ht="15.75" hidden="1" thickBot="1">
      <c r="A61" s="225">
        <v>0.99</v>
      </c>
      <c r="B61" s="225">
        <f>+($J$22/11)*$D$33</f>
        <v>1.2</v>
      </c>
      <c r="C61" s="225">
        <v>0.34</v>
      </c>
      <c r="D61" s="228">
        <f>+($J$23/$J$27)*$D$33</f>
        <v>0.38596491228070173</v>
      </c>
      <c r="E61" s="225">
        <v>1.18</v>
      </c>
      <c r="F61" s="228">
        <f>+($J$24/$J$27)*$D$33</f>
        <v>1.3508771929824561</v>
      </c>
      <c r="G61" s="225">
        <v>1.9</v>
      </c>
      <c r="H61" s="228">
        <f>+($J$25/$J$27)*$D$33</f>
        <v>2.3157894736842106</v>
      </c>
      <c r="I61" s="228"/>
      <c r="J61" s="225">
        <v>4.0999999999999996</v>
      </c>
      <c r="K61" s="228">
        <f>+($J$26/$J$27)*$D$33</f>
        <v>5.7894736842105257</v>
      </c>
    </row>
    <row r="62" spans="1:11" hidden="1"/>
    <row r="63" spans="1:11" hidden="1"/>
    <row r="64" spans="1:11" hidden="1"/>
  </sheetData>
  <mergeCells count="15">
    <mergeCell ref="A58:B58"/>
    <mergeCell ref="C58:D58"/>
    <mergeCell ref="E58:F58"/>
    <mergeCell ref="G58:H58"/>
    <mergeCell ref="J58:K58"/>
    <mergeCell ref="D16:E16"/>
    <mergeCell ref="B17:C17"/>
    <mergeCell ref="B16:C16"/>
    <mergeCell ref="D17:E17"/>
    <mergeCell ref="A21:D21"/>
    <mergeCell ref="A48:A49"/>
    <mergeCell ref="A31:D31"/>
    <mergeCell ref="A32:B32"/>
    <mergeCell ref="C32:D32"/>
    <mergeCell ref="A42:A43"/>
  </mergeCells>
  <conditionalFormatting sqref="B17">
    <cfRule type="cellIs" dxfId="29" priority="34" operator="between">
      <formula>5.5</formula>
      <formula>11.5</formula>
    </cfRule>
    <cfRule type="cellIs" dxfId="28" priority="36" operator="between">
      <formula>0</formula>
      <formula>5.4</formula>
    </cfRule>
  </conditionalFormatting>
  <conditionalFormatting sqref="H22">
    <cfRule type="cellIs" dxfId="27" priority="31" operator="between">
      <formula>0.99</formula>
      <formula>1.2</formula>
    </cfRule>
    <cfRule type="cellIs" dxfId="26" priority="33" operator="between">
      <formula>0</formula>
      <formula>0.98</formula>
    </cfRule>
  </conditionalFormatting>
  <conditionalFormatting sqref="H23">
    <cfRule type="cellIs" dxfId="25" priority="28" operator="between">
      <formula>0.35</formula>
      <formula>0.41</formula>
    </cfRule>
    <cfRule type="cellIs" dxfId="24" priority="30" operator="between">
      <formula>0</formula>
      <formula>0.34</formula>
    </cfRule>
  </conditionalFormatting>
  <conditionalFormatting sqref="H24">
    <cfRule type="cellIs" dxfId="23" priority="25" operator="between">
      <formula>1.18</formula>
      <formula>1.43</formula>
    </cfRule>
    <cfRule type="cellIs" dxfId="22" priority="27" operator="between">
      <formula>0</formula>
      <formula>1.17</formula>
    </cfRule>
  </conditionalFormatting>
  <conditionalFormatting sqref="H25">
    <cfRule type="cellIs" dxfId="21" priority="22" operator="between">
      <formula>0.75</formula>
      <formula>2.41</formula>
    </cfRule>
    <cfRule type="cellIs" dxfId="20" priority="24" operator="between">
      <formula>0</formula>
      <formula>0.74</formula>
    </cfRule>
  </conditionalFormatting>
  <conditionalFormatting sqref="H26">
    <cfRule type="cellIs" dxfId="19" priority="19" operator="between">
      <formula>2.5</formula>
      <formula>6</formula>
    </cfRule>
    <cfRule type="cellIs" dxfId="18" priority="21" operator="between">
      <formula>0</formula>
      <formula>2.4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72"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7727A59A-3B6D-4A00-AF7F-9083762E18E7}">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6" operator="containsText" id="{BB8E151A-D20B-4BC2-9BD7-C8C045C29D1D}">
            <xm:f>NOT(ISERROR(SEARCH("SUFICIENTE",D17)))</xm:f>
            <xm:f>"SUFICIENTE"</xm:f>
            <x14:dxf>
              <fill>
                <patternFill>
                  <bgColor rgb="FF92D050"/>
                </patternFill>
              </fill>
            </x14:dxf>
          </x14:cfRule>
          <x14:cfRule type="containsText" priority="17" operator="containsText" id="{1191F810-2F11-4CA4-8AE2-9D1EAE36264A}">
            <xm:f>NOT(ISERROR(SEARCH("ACEPTABLE",D17)))</xm:f>
            <xm:f>"ACEPTABLE"</xm:f>
            <x14:dxf>
              <fill>
                <patternFill>
                  <bgColor rgb="FFFFFF00"/>
                </patternFill>
              </fill>
            </x14:dxf>
          </x14:cfRule>
          <x14:cfRule type="containsText" priority="18" operator="containsText" id="{52822903-B2D9-42C9-9B6C-FDB7A52DEDF5}">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3" operator="containsText" id="{15436921-CBFC-4119-A8BA-845DC95A39CC}">
            <xm:f>NOT(ISERROR(SEARCH("SUFICIENTE",I22)))</xm:f>
            <xm:f>"SUFICIENTE"</xm:f>
            <x14:dxf>
              <fill>
                <patternFill>
                  <bgColor rgb="FF92D050"/>
                </patternFill>
              </fill>
            </x14:dxf>
          </x14:cfRule>
          <x14:cfRule type="containsText" priority="14" operator="containsText" id="{E63DFB32-2D81-49A1-9169-F7CED0533905}">
            <xm:f>NOT(ISERROR(SEARCH("ACEPTABLE",I22)))</xm:f>
            <xm:f>"ACEPTABLE"</xm:f>
            <x14:dxf>
              <fill>
                <patternFill>
                  <bgColor rgb="FFFFFF00"/>
                </patternFill>
              </fill>
            </x14:dxf>
          </x14:cfRule>
          <x14:cfRule type="containsText" priority="15" operator="containsText" id="{0D0418E0-08EB-45A8-A9F6-F3CC7121ED30}">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60AF9EF3-C6A7-4E7E-9B58-141F8622FBC1}">
            <xm:f>NOT(ISERROR(SEARCH("SUFICIENTE",I23)))</xm:f>
            <xm:f>"SUFICIENTE"</xm:f>
            <x14:dxf>
              <fill>
                <patternFill>
                  <bgColor rgb="FF92D050"/>
                </patternFill>
              </fill>
            </x14:dxf>
          </x14:cfRule>
          <x14:cfRule type="containsText" priority="11" operator="containsText" id="{3CF5C318-B59D-4CB7-BE52-98F09B47A864}">
            <xm:f>NOT(ISERROR(SEARCH("ACEPTABLE",I23)))</xm:f>
            <xm:f>"ACEPTABLE"</xm:f>
            <x14:dxf>
              <fill>
                <patternFill>
                  <bgColor rgb="FFFFFF00"/>
                </patternFill>
              </fill>
            </x14:dxf>
          </x14:cfRule>
          <x14:cfRule type="containsText" priority="12" operator="containsText" id="{32A4E397-2FF7-4D00-8A88-3F87FAD0A66B}">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78F8A8C3-45C3-4EDC-8BD7-7406C9524203}">
            <xm:f>NOT(ISERROR(SEARCH("SUFICIENTE",I24)))</xm:f>
            <xm:f>"SUFICIENTE"</xm:f>
            <x14:dxf>
              <fill>
                <patternFill>
                  <bgColor rgb="FF92D050"/>
                </patternFill>
              </fill>
            </x14:dxf>
          </x14:cfRule>
          <x14:cfRule type="containsText" priority="8" operator="containsText" id="{B6BDC820-0807-4D62-B442-D511037037AC}">
            <xm:f>NOT(ISERROR(SEARCH("ACEPTABLE",I24)))</xm:f>
            <xm:f>"ACEPTABLE"</xm:f>
            <x14:dxf>
              <fill>
                <patternFill>
                  <bgColor rgb="FFFFFF00"/>
                </patternFill>
              </fill>
            </x14:dxf>
          </x14:cfRule>
          <x14:cfRule type="containsText" priority="9" operator="containsText" id="{CF5BC42D-7703-454A-AE7E-DC93267F9660}">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94A7CE21-EDA5-41CE-8A20-6D2234B6CC3B}">
            <xm:f>NOT(ISERROR(SEARCH("SUFICIENTE",I25)))</xm:f>
            <xm:f>"SUFICIENTE"</xm:f>
            <x14:dxf>
              <fill>
                <patternFill>
                  <bgColor rgb="FF92D050"/>
                </patternFill>
              </fill>
            </x14:dxf>
          </x14:cfRule>
          <x14:cfRule type="containsText" priority="6" operator="containsText" id="{FCB3D8CC-113F-4F8C-BD4E-162A24DB7E90}">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9D901451-0724-4DB5-B6A0-6C8401008236}">
            <xm:f>NOT(ISERROR(SEARCH("ACEPTABLE",I26)))</xm:f>
            <xm:f>"ACEPTABLE"</xm:f>
            <x14:dxf>
              <fill>
                <patternFill>
                  <bgColor rgb="FFFFFF00"/>
                </patternFill>
              </fill>
            </x14:dxf>
          </x14:cfRule>
          <x14:cfRule type="containsText" priority="3" operator="containsText" id="{33111117-2AD8-4F3F-AAE6-CC19ED3B6021}">
            <xm:f>NOT(ISERROR(SEARCH("DEFICIENTE",I26)))</xm:f>
            <xm:f>"DEFICIENTE"</xm:f>
            <x14:dxf>
              <fill>
                <patternFill>
                  <bgColor rgb="FFFF5050"/>
                </patternFill>
              </fill>
            </x14:dxf>
          </x14:cfRule>
          <xm:sqref>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5" tint="-0.249977111117893"/>
    <pageSetUpPr fitToPage="1"/>
  </sheetPr>
  <dimension ref="A1:XFD97"/>
  <sheetViews>
    <sheetView showZeros="0" tabSelected="1" zoomScale="70" zoomScaleNormal="70" workbookViewId="0">
      <selection activeCell="H10" sqref="H10"/>
    </sheetView>
  </sheetViews>
  <sheetFormatPr baseColWidth="10" defaultColWidth="11.42578125" defaultRowHeight="15"/>
  <cols>
    <col min="1" max="1" width="40.85546875" customWidth="1" collapsed="1"/>
    <col min="2" max="2" width="10.5703125" customWidth="1" collapsed="1"/>
    <col min="3" max="3" width="10.42578125" customWidth="1"/>
    <col min="4" max="4" width="9.85546875" customWidth="1" collapsed="1"/>
    <col min="5" max="5" width="25.85546875" customWidth="1" collapsed="1"/>
    <col min="6" max="6" width="29.42578125" customWidth="1" collapsed="1"/>
    <col min="7" max="7" width="24.7109375" customWidth="1" collapsed="1"/>
    <col min="8" max="8" width="26.42578125" customWidth="1" collapsed="1"/>
  </cols>
  <sheetData>
    <row r="1" spans="1:8" ht="23.25">
      <c r="A1" s="488" t="str">
        <f>+FORMULARIO!A1</f>
        <v>PANAMA CAR RENTAL, S.A.</v>
      </c>
      <c r="B1" s="488"/>
      <c r="C1" s="488"/>
      <c r="D1" s="488"/>
      <c r="E1" s="488"/>
      <c r="F1" s="488"/>
      <c r="G1" s="488"/>
      <c r="H1" s="488"/>
    </row>
    <row r="2" spans="1:8" ht="17.25" customHeight="1">
      <c r="A2" s="487" t="s">
        <v>94</v>
      </c>
      <c r="B2" s="487"/>
      <c r="C2" s="487"/>
      <c r="D2" s="487"/>
      <c r="E2" s="487"/>
      <c r="F2" s="487"/>
      <c r="G2" s="487"/>
      <c r="H2" s="487"/>
    </row>
    <row r="3" spans="1:8" ht="17.25" customHeight="1">
      <c r="A3" s="487" t="s">
        <v>1762</v>
      </c>
      <c r="B3" s="487"/>
      <c r="C3" s="487"/>
      <c r="D3" s="487"/>
      <c r="E3" s="487"/>
      <c r="F3" s="487"/>
      <c r="G3" s="487"/>
      <c r="H3" s="487"/>
    </row>
    <row r="4" spans="1:8" ht="17.25" customHeight="1">
      <c r="A4" s="487" t="s">
        <v>1763</v>
      </c>
      <c r="B4" s="487"/>
      <c r="C4" s="487"/>
      <c r="D4" s="487"/>
      <c r="E4" s="487"/>
      <c r="F4" s="487"/>
      <c r="G4" s="487"/>
      <c r="H4" s="487"/>
    </row>
    <row r="5" spans="1:8" s="1" customFormat="1" ht="17.25" customHeight="1">
      <c r="A5" s="487" t="s">
        <v>1764</v>
      </c>
      <c r="B5" s="487"/>
      <c r="C5" s="487"/>
      <c r="D5" s="487"/>
      <c r="E5" s="487"/>
      <c r="F5" s="487"/>
      <c r="G5" s="487"/>
      <c r="H5" s="487"/>
    </row>
    <row r="6" spans="1:8" s="1" customFormat="1" ht="17.25" customHeight="1">
      <c r="A6" s="489"/>
      <c r="B6" s="489"/>
      <c r="C6" s="489"/>
      <c r="D6" s="489"/>
      <c r="E6" s="489"/>
      <c r="F6" s="489"/>
      <c r="G6" s="489"/>
      <c r="H6" s="489"/>
    </row>
    <row r="7" spans="1:8" ht="17.25" customHeight="1">
      <c r="A7" s="274" t="s">
        <v>2329</v>
      </c>
      <c r="B7" s="54"/>
      <c r="C7" s="54"/>
      <c r="D7" s="529" t="s">
        <v>2330</v>
      </c>
      <c r="E7" s="529"/>
      <c r="F7" s="275"/>
      <c r="G7" s="269" t="s">
        <v>2145</v>
      </c>
      <c r="H7" s="54"/>
    </row>
    <row r="8" spans="1:8" ht="18.600000000000001" customHeight="1">
      <c r="A8" s="489"/>
      <c r="B8" s="489"/>
      <c r="C8" s="489"/>
      <c r="D8" s="489"/>
      <c r="E8" s="489"/>
      <c r="F8" s="489"/>
      <c r="G8" s="489"/>
      <c r="H8" s="489"/>
    </row>
    <row r="9" spans="1:8" s="43" customFormat="1" ht="21" customHeight="1">
      <c r="A9" s="471" t="s">
        <v>95</v>
      </c>
      <c r="B9" s="471"/>
      <c r="C9" s="471"/>
      <c r="D9" s="471"/>
      <c r="E9" s="471"/>
      <c r="F9" s="471"/>
      <c r="G9" s="471"/>
      <c r="H9" s="471"/>
    </row>
    <row r="10" spans="1:8" ht="19.5" customHeight="1">
      <c r="A10" s="252" t="s">
        <v>96</v>
      </c>
      <c r="B10" s="477"/>
      <c r="C10" s="477"/>
      <c r="D10" s="477"/>
      <c r="E10" s="252" t="s">
        <v>97</v>
      </c>
      <c r="F10" s="253"/>
      <c r="G10" s="252" t="s">
        <v>98</v>
      </c>
      <c r="H10" s="253"/>
    </row>
    <row r="11" spans="1:8" ht="19.5" customHeight="1">
      <c r="A11" s="252" t="s">
        <v>2030</v>
      </c>
      <c r="B11" s="477"/>
      <c r="C11" s="477"/>
      <c r="D11" s="477"/>
      <c r="E11" s="252" t="s">
        <v>100</v>
      </c>
      <c r="F11" s="477"/>
      <c r="G11" s="477"/>
      <c r="H11" s="477"/>
    </row>
    <row r="12" spans="1:8" ht="19.5" customHeight="1">
      <c r="A12" s="252" t="s">
        <v>101</v>
      </c>
      <c r="B12" s="477"/>
      <c r="C12" s="477"/>
      <c r="D12" s="477"/>
      <c r="E12" s="477"/>
      <c r="F12" s="252" t="s">
        <v>102</v>
      </c>
      <c r="G12" s="483"/>
      <c r="H12" s="483"/>
    </row>
    <row r="13" spans="1:8" ht="19.5" customHeight="1">
      <c r="A13" s="252" t="s">
        <v>103</v>
      </c>
      <c r="B13" s="490"/>
      <c r="C13" s="490"/>
      <c r="D13" s="490"/>
      <c r="E13" s="490"/>
      <c r="F13" s="252" t="s">
        <v>1768</v>
      </c>
      <c r="G13" s="475" t="s">
        <v>1767</v>
      </c>
      <c r="H13" s="475"/>
    </row>
    <row r="14" spans="1:8" ht="19.5" customHeight="1">
      <c r="A14" s="313" t="s">
        <v>105</v>
      </c>
      <c r="B14" s="521"/>
      <c r="C14" s="522"/>
      <c r="D14" s="522"/>
      <c r="E14" s="314"/>
      <c r="F14" s="252" t="s">
        <v>106</v>
      </c>
      <c r="G14" s="475" t="s">
        <v>1771</v>
      </c>
      <c r="H14" s="475"/>
    </row>
    <row r="15" spans="1:8" ht="19.5" customHeight="1">
      <c r="A15" s="252" t="s">
        <v>175</v>
      </c>
      <c r="B15" s="493"/>
      <c r="C15" s="493"/>
      <c r="D15" s="493"/>
      <c r="E15" s="493"/>
      <c r="F15" s="499" t="s">
        <v>108</v>
      </c>
      <c r="G15" s="479"/>
      <c r="H15" s="479"/>
    </row>
    <row r="16" spans="1:8" ht="19.5" customHeight="1">
      <c r="A16" s="252" t="s">
        <v>1772</v>
      </c>
      <c r="B16" s="477"/>
      <c r="C16" s="477"/>
      <c r="D16" s="477"/>
      <c r="E16" s="477"/>
      <c r="F16" s="499"/>
      <c r="G16" s="479"/>
      <c r="H16" s="479"/>
    </row>
    <row r="17" spans="1:8" ht="19.5" customHeight="1">
      <c r="A17" s="252" t="s">
        <v>110</v>
      </c>
      <c r="B17" s="477"/>
      <c r="C17" s="477"/>
      <c r="D17" s="477"/>
      <c r="E17" s="477"/>
      <c r="F17" s="499"/>
      <c r="G17" s="479"/>
      <c r="H17" s="479"/>
    </row>
    <row r="18" spans="1:8" ht="19.5" customHeight="1">
      <c r="A18" s="252" t="s">
        <v>111</v>
      </c>
      <c r="B18" s="477"/>
      <c r="C18" s="477"/>
      <c r="D18" s="477"/>
      <c r="E18" s="477"/>
      <c r="F18" s="252" t="s">
        <v>2019</v>
      </c>
      <c r="G18" s="475"/>
      <c r="H18" s="475"/>
    </row>
    <row r="19" spans="1:8" ht="21" customHeight="1">
      <c r="A19" s="471" t="s">
        <v>114</v>
      </c>
      <c r="B19" s="471"/>
      <c r="C19" s="471"/>
      <c r="D19" s="471"/>
      <c r="E19" s="471"/>
      <c r="F19" s="471"/>
      <c r="G19" s="471"/>
      <c r="H19" s="471"/>
    </row>
    <row r="20" spans="1:8" ht="15.75" customHeight="1">
      <c r="A20" s="252" t="s">
        <v>115</v>
      </c>
      <c r="B20" s="477"/>
      <c r="C20" s="477"/>
      <c r="D20" s="477"/>
      <c r="E20" s="477"/>
      <c r="F20" s="252" t="s">
        <v>116</v>
      </c>
      <c r="G20" s="491" t="s">
        <v>2055</v>
      </c>
      <c r="H20" s="477"/>
    </row>
    <row r="21" spans="1:8" ht="19.5" customHeight="1">
      <c r="A21" s="252" t="s">
        <v>2020</v>
      </c>
      <c r="B21" s="477"/>
      <c r="C21" s="477"/>
      <c r="D21" s="477"/>
      <c r="E21" s="477"/>
      <c r="F21" s="499" t="s">
        <v>2024</v>
      </c>
      <c r="G21" s="491"/>
      <c r="H21" s="491"/>
    </row>
    <row r="22" spans="1:8" ht="19.5" customHeight="1">
      <c r="A22" s="252" t="s">
        <v>2021</v>
      </c>
      <c r="B22" s="477"/>
      <c r="C22" s="477"/>
      <c r="D22" s="477"/>
      <c r="E22" s="477"/>
      <c r="F22" s="499"/>
      <c r="G22" s="491"/>
      <c r="H22" s="491"/>
    </row>
    <row r="23" spans="1:8" ht="19.5" customHeight="1">
      <c r="A23" s="252" t="s">
        <v>2022</v>
      </c>
      <c r="B23" s="477"/>
      <c r="C23" s="477"/>
      <c r="D23" s="477"/>
      <c r="E23" s="477"/>
      <c r="F23" s="499"/>
      <c r="G23" s="491"/>
      <c r="H23" s="491"/>
    </row>
    <row r="24" spans="1:8" ht="19.5" customHeight="1">
      <c r="A24" s="516" t="s">
        <v>2144</v>
      </c>
      <c r="B24" s="517"/>
      <c r="C24" s="517"/>
      <c r="D24" s="517"/>
      <c r="E24" s="518"/>
      <c r="F24" s="254" t="s">
        <v>2023</v>
      </c>
      <c r="G24" s="491" t="s">
        <v>2027</v>
      </c>
      <c r="H24" s="491"/>
    </row>
    <row r="25" spans="1:8" ht="19.5" customHeight="1">
      <c r="A25" s="492"/>
      <c r="B25" s="492"/>
      <c r="C25" s="492"/>
      <c r="D25" s="492"/>
      <c r="E25" s="492"/>
      <c r="F25" s="506" t="s">
        <v>2326</v>
      </c>
      <c r="G25" s="472" t="s">
        <v>1937</v>
      </c>
      <c r="H25" s="472"/>
    </row>
    <row r="26" spans="1:8" ht="19.5" customHeight="1">
      <c r="A26" s="516" t="s">
        <v>2143</v>
      </c>
      <c r="B26" s="517"/>
      <c r="C26" s="517"/>
      <c r="D26" s="517"/>
      <c r="E26" s="518"/>
      <c r="F26" s="507"/>
      <c r="G26" s="509"/>
      <c r="H26" s="510"/>
    </row>
    <row r="27" spans="1:8" ht="19.5" customHeight="1">
      <c r="A27" s="477"/>
      <c r="B27" s="477"/>
      <c r="C27" s="477"/>
      <c r="D27" s="477"/>
      <c r="E27" s="477"/>
      <c r="F27" s="508"/>
      <c r="G27" s="509"/>
      <c r="H27" s="510"/>
    </row>
    <row r="28" spans="1:8" ht="21" customHeight="1">
      <c r="A28" s="471" t="s">
        <v>2028</v>
      </c>
      <c r="B28" s="471"/>
      <c r="C28" s="471"/>
      <c r="D28" s="471"/>
      <c r="E28" s="471"/>
      <c r="F28" s="471"/>
      <c r="G28" s="471"/>
      <c r="H28" s="471"/>
    </row>
    <row r="29" spans="1:8" ht="53.25" customHeight="1">
      <c r="A29" s="473" t="s">
        <v>2029</v>
      </c>
      <c r="B29" s="473"/>
      <c r="C29" s="473"/>
      <c r="D29" s="473"/>
      <c r="E29" s="473"/>
      <c r="F29" s="473"/>
      <c r="G29" s="473"/>
      <c r="H29" s="473"/>
    </row>
    <row r="30" spans="1:8" ht="19.5" customHeight="1">
      <c r="A30" s="265" t="s">
        <v>2331</v>
      </c>
      <c r="B30" s="519"/>
      <c r="C30" s="530"/>
      <c r="D30" s="530"/>
      <c r="E30" s="520"/>
      <c r="F30" s="258" t="s">
        <v>2298</v>
      </c>
      <c r="G30" s="481"/>
      <c r="H30" s="481"/>
    </row>
    <row r="31" spans="1:8" ht="20.25" customHeight="1">
      <c r="A31" s="256" t="s">
        <v>2036</v>
      </c>
      <c r="B31" s="473" t="s">
        <v>2046</v>
      </c>
      <c r="C31" s="473"/>
      <c r="D31" s="473"/>
      <c r="E31" s="473"/>
      <c r="F31" s="256" t="s">
        <v>2037</v>
      </c>
      <c r="G31" s="473" t="s">
        <v>2040</v>
      </c>
      <c r="H31" s="473"/>
    </row>
    <row r="32" spans="1:8" ht="19.5" customHeight="1">
      <c r="A32" s="256" t="s">
        <v>2295</v>
      </c>
      <c r="B32" s="481" t="s">
        <v>2138</v>
      </c>
      <c r="C32" s="481"/>
      <c r="D32" s="481"/>
      <c r="E32" s="481"/>
      <c r="F32" s="255" t="s">
        <v>2296</v>
      </c>
      <c r="G32" s="519" t="s">
        <v>2134</v>
      </c>
      <c r="H32" s="520"/>
    </row>
    <row r="33" spans="1:16384" ht="21" customHeight="1">
      <c r="A33" s="471" t="s">
        <v>2031</v>
      </c>
      <c r="B33" s="471"/>
      <c r="C33" s="471"/>
      <c r="D33" s="471"/>
      <c r="E33" s="471"/>
      <c r="F33" s="471"/>
      <c r="G33" s="471"/>
      <c r="H33" s="471"/>
    </row>
    <row r="34" spans="1:16384" ht="18.75" customHeight="1">
      <c r="A34" s="491" t="s">
        <v>2032</v>
      </c>
      <c r="B34" s="491"/>
      <c r="C34" s="491"/>
      <c r="D34" s="491"/>
      <c r="E34" s="491"/>
      <c r="F34" s="491"/>
      <c r="G34" s="491"/>
      <c r="H34" s="491"/>
      <c r="I34" s="515"/>
      <c r="J34" s="515"/>
      <c r="K34" s="515"/>
      <c r="L34" s="515"/>
      <c r="M34" s="515"/>
      <c r="N34" s="515"/>
      <c r="O34" s="515"/>
      <c r="P34" s="515"/>
      <c r="Q34" s="514"/>
      <c r="R34" s="515"/>
      <c r="S34" s="515"/>
      <c r="T34" s="515"/>
      <c r="U34" s="515"/>
      <c r="V34" s="515"/>
      <c r="W34" s="515"/>
      <c r="X34" s="515"/>
      <c r="Y34" s="514"/>
      <c r="Z34" s="515"/>
      <c r="AA34" s="515"/>
      <c r="AB34" s="515"/>
      <c r="AC34" s="515"/>
      <c r="AD34" s="515"/>
      <c r="AE34" s="515"/>
      <c r="AF34" s="515"/>
      <c r="AG34" s="514"/>
      <c r="AH34" s="515"/>
      <c r="AI34" s="515"/>
      <c r="AJ34" s="515"/>
      <c r="AK34" s="515"/>
      <c r="AL34" s="515"/>
      <c r="AM34" s="515"/>
      <c r="AN34" s="515"/>
      <c r="AO34" s="514"/>
      <c r="AP34" s="515"/>
      <c r="AQ34" s="515"/>
      <c r="AR34" s="515"/>
      <c r="AS34" s="515"/>
      <c r="AT34" s="515"/>
      <c r="AU34" s="515"/>
      <c r="AV34" s="515"/>
      <c r="AW34" s="514"/>
      <c r="AX34" s="515"/>
      <c r="AY34" s="515"/>
      <c r="AZ34" s="515"/>
      <c r="BA34" s="515"/>
      <c r="BB34" s="515"/>
      <c r="BC34" s="515"/>
      <c r="BD34" s="515"/>
      <c r="BE34" s="514"/>
      <c r="BF34" s="515"/>
      <c r="BG34" s="515"/>
      <c r="BH34" s="515"/>
      <c r="BI34" s="515"/>
      <c r="BJ34" s="515"/>
      <c r="BK34" s="515"/>
      <c r="BL34" s="515"/>
      <c r="BM34" s="514"/>
      <c r="BN34" s="515"/>
      <c r="BO34" s="515"/>
      <c r="BP34" s="515"/>
      <c r="BQ34" s="515"/>
      <c r="BR34" s="515"/>
      <c r="BS34" s="515"/>
      <c r="BT34" s="515"/>
      <c r="BU34" s="514"/>
      <c r="BV34" s="515"/>
      <c r="BW34" s="515"/>
      <c r="BX34" s="515"/>
      <c r="BY34" s="515"/>
      <c r="BZ34" s="515"/>
      <c r="CA34" s="515"/>
      <c r="CB34" s="515"/>
      <c r="CC34" s="514"/>
      <c r="CD34" s="515"/>
      <c r="CE34" s="515"/>
      <c r="CF34" s="515"/>
      <c r="CG34" s="515"/>
      <c r="CH34" s="515"/>
      <c r="CI34" s="515"/>
      <c r="CJ34" s="515"/>
      <c r="CK34" s="514"/>
      <c r="CL34" s="515"/>
      <c r="CM34" s="515"/>
      <c r="CN34" s="515"/>
      <c r="CO34" s="515"/>
      <c r="CP34" s="515"/>
      <c r="CQ34" s="515"/>
      <c r="CR34" s="515"/>
      <c r="CS34" s="514"/>
      <c r="CT34" s="515"/>
      <c r="CU34" s="515"/>
      <c r="CV34" s="515"/>
      <c r="CW34" s="515"/>
      <c r="CX34" s="515"/>
      <c r="CY34" s="515"/>
      <c r="CZ34" s="515"/>
      <c r="DA34" s="514"/>
      <c r="DB34" s="515"/>
      <c r="DC34" s="515"/>
      <c r="DD34" s="515"/>
      <c r="DE34" s="515"/>
      <c r="DF34" s="515"/>
      <c r="DG34" s="515"/>
      <c r="DH34" s="515"/>
      <c r="DI34" s="514"/>
      <c r="DJ34" s="515"/>
      <c r="DK34" s="515"/>
      <c r="DL34" s="515"/>
      <c r="DM34" s="515"/>
      <c r="DN34" s="515"/>
      <c r="DO34" s="515"/>
      <c r="DP34" s="515"/>
      <c r="DQ34" s="514"/>
      <c r="DR34" s="515"/>
      <c r="DS34" s="515"/>
      <c r="DT34" s="515"/>
      <c r="DU34" s="515"/>
      <c r="DV34" s="515"/>
      <c r="DW34" s="515"/>
      <c r="DX34" s="515"/>
      <c r="DY34" s="514"/>
      <c r="DZ34" s="515"/>
      <c r="EA34" s="515"/>
      <c r="EB34" s="515"/>
      <c r="EC34" s="515"/>
      <c r="ED34" s="515"/>
      <c r="EE34" s="515"/>
      <c r="EF34" s="515"/>
      <c r="EG34" s="514"/>
      <c r="EH34" s="515"/>
      <c r="EI34" s="515"/>
      <c r="EJ34" s="515"/>
      <c r="EK34" s="515"/>
      <c r="EL34" s="515"/>
      <c r="EM34" s="515"/>
      <c r="EN34" s="515"/>
      <c r="EO34" s="514"/>
      <c r="EP34" s="515"/>
      <c r="EQ34" s="515"/>
      <c r="ER34" s="515"/>
      <c r="ES34" s="515"/>
      <c r="ET34" s="515"/>
      <c r="EU34" s="515"/>
      <c r="EV34" s="515"/>
      <c r="EW34" s="514"/>
      <c r="EX34" s="515"/>
      <c r="EY34" s="515"/>
      <c r="EZ34" s="515"/>
      <c r="FA34" s="515"/>
      <c r="FB34" s="515"/>
      <c r="FC34" s="515"/>
      <c r="FD34" s="515"/>
      <c r="FE34" s="514"/>
      <c r="FF34" s="515"/>
      <c r="FG34" s="515"/>
      <c r="FH34" s="515"/>
      <c r="FI34" s="515"/>
      <c r="FJ34" s="515"/>
      <c r="FK34" s="515"/>
      <c r="FL34" s="515"/>
      <c r="FM34" s="514"/>
      <c r="FN34" s="515"/>
      <c r="FO34" s="515"/>
      <c r="FP34" s="515"/>
      <c r="FQ34" s="515"/>
      <c r="FR34" s="515"/>
      <c r="FS34" s="515"/>
      <c r="FT34" s="515"/>
      <c r="FU34" s="514"/>
      <c r="FV34" s="515"/>
      <c r="FW34" s="515"/>
      <c r="FX34" s="515"/>
      <c r="FY34" s="515"/>
      <c r="FZ34" s="515"/>
      <c r="GA34" s="515"/>
      <c r="GB34" s="515"/>
      <c r="GC34" s="514"/>
      <c r="GD34" s="515"/>
      <c r="GE34" s="515"/>
      <c r="GF34" s="515"/>
      <c r="GG34" s="515"/>
      <c r="GH34" s="515"/>
      <c r="GI34" s="515"/>
      <c r="GJ34" s="515"/>
      <c r="GK34" s="514"/>
      <c r="GL34" s="515"/>
      <c r="GM34" s="515"/>
      <c r="GN34" s="515"/>
      <c r="GO34" s="515"/>
      <c r="GP34" s="515"/>
      <c r="GQ34" s="515"/>
      <c r="GR34" s="515"/>
      <c r="GS34" s="514"/>
      <c r="GT34" s="515"/>
      <c r="GU34" s="515"/>
      <c r="GV34" s="515"/>
      <c r="GW34" s="515"/>
      <c r="GX34" s="515"/>
      <c r="GY34" s="515"/>
      <c r="GZ34" s="515"/>
      <c r="HA34" s="514"/>
      <c r="HB34" s="515"/>
      <c r="HC34" s="515"/>
      <c r="HD34" s="515"/>
      <c r="HE34" s="515"/>
      <c r="HF34" s="515"/>
      <c r="HG34" s="515"/>
      <c r="HH34" s="515"/>
      <c r="HI34" s="514"/>
      <c r="HJ34" s="515"/>
      <c r="HK34" s="515"/>
      <c r="HL34" s="515"/>
      <c r="HM34" s="515"/>
      <c r="HN34" s="515"/>
      <c r="HO34" s="515"/>
      <c r="HP34" s="515"/>
      <c r="HQ34" s="514"/>
      <c r="HR34" s="515"/>
      <c r="HS34" s="515"/>
      <c r="HT34" s="515"/>
      <c r="HU34" s="515"/>
      <c r="HV34" s="515"/>
      <c r="HW34" s="515"/>
      <c r="HX34" s="515"/>
      <c r="HY34" s="514"/>
      <c r="HZ34" s="515"/>
      <c r="IA34" s="515"/>
      <c r="IB34" s="515"/>
      <c r="IC34" s="515"/>
      <c r="ID34" s="515"/>
      <c r="IE34" s="515"/>
      <c r="IF34" s="515"/>
      <c r="IG34" s="514"/>
      <c r="IH34" s="515"/>
      <c r="II34" s="515"/>
      <c r="IJ34" s="515"/>
      <c r="IK34" s="515"/>
      <c r="IL34" s="515"/>
      <c r="IM34" s="515"/>
      <c r="IN34" s="515"/>
      <c r="IO34" s="514"/>
      <c r="IP34" s="515"/>
      <c r="IQ34" s="515"/>
      <c r="IR34" s="515"/>
      <c r="IS34" s="515"/>
      <c r="IT34" s="515"/>
      <c r="IU34" s="515"/>
      <c r="IV34" s="515"/>
      <c r="IW34" s="514"/>
      <c r="IX34" s="515"/>
      <c r="IY34" s="515"/>
      <c r="IZ34" s="515"/>
      <c r="JA34" s="515"/>
      <c r="JB34" s="515"/>
      <c r="JC34" s="515"/>
      <c r="JD34" s="515"/>
      <c r="JE34" s="514"/>
      <c r="JF34" s="515"/>
      <c r="JG34" s="515"/>
      <c r="JH34" s="515"/>
      <c r="JI34" s="515"/>
      <c r="JJ34" s="515"/>
      <c r="JK34" s="515"/>
      <c r="JL34" s="515"/>
      <c r="JM34" s="514"/>
      <c r="JN34" s="515"/>
      <c r="JO34" s="515"/>
      <c r="JP34" s="515"/>
      <c r="JQ34" s="515"/>
      <c r="JR34" s="515"/>
      <c r="JS34" s="515"/>
      <c r="JT34" s="515"/>
      <c r="JU34" s="514"/>
      <c r="JV34" s="515"/>
      <c r="JW34" s="515"/>
      <c r="JX34" s="515"/>
      <c r="JY34" s="515"/>
      <c r="JZ34" s="515"/>
      <c r="KA34" s="515"/>
      <c r="KB34" s="515"/>
      <c r="KC34" s="514"/>
      <c r="KD34" s="515"/>
      <c r="KE34" s="515"/>
      <c r="KF34" s="515"/>
      <c r="KG34" s="515"/>
      <c r="KH34" s="515"/>
      <c r="KI34" s="515"/>
      <c r="KJ34" s="515"/>
      <c r="KK34" s="514"/>
      <c r="KL34" s="515"/>
      <c r="KM34" s="515"/>
      <c r="KN34" s="515"/>
      <c r="KO34" s="515"/>
      <c r="KP34" s="515"/>
      <c r="KQ34" s="515"/>
      <c r="KR34" s="515"/>
      <c r="KS34" s="514"/>
      <c r="KT34" s="515"/>
      <c r="KU34" s="515"/>
      <c r="KV34" s="515"/>
      <c r="KW34" s="515"/>
      <c r="KX34" s="515"/>
      <c r="KY34" s="515"/>
      <c r="KZ34" s="515"/>
      <c r="LA34" s="514"/>
      <c r="LB34" s="515"/>
      <c r="LC34" s="515"/>
      <c r="LD34" s="515"/>
      <c r="LE34" s="515"/>
      <c r="LF34" s="515"/>
      <c r="LG34" s="515"/>
      <c r="LH34" s="515"/>
      <c r="LI34" s="514"/>
      <c r="LJ34" s="515"/>
      <c r="LK34" s="515"/>
      <c r="LL34" s="515"/>
      <c r="LM34" s="515"/>
      <c r="LN34" s="515"/>
      <c r="LO34" s="515"/>
      <c r="LP34" s="515"/>
      <c r="LQ34" s="514"/>
      <c r="LR34" s="515"/>
      <c r="LS34" s="515"/>
      <c r="LT34" s="515"/>
      <c r="LU34" s="515"/>
      <c r="LV34" s="515"/>
      <c r="LW34" s="515"/>
      <c r="LX34" s="515"/>
      <c r="LY34" s="514"/>
      <c r="LZ34" s="515"/>
      <c r="MA34" s="515"/>
      <c r="MB34" s="515"/>
      <c r="MC34" s="515"/>
      <c r="MD34" s="515"/>
      <c r="ME34" s="515"/>
      <c r="MF34" s="515"/>
      <c r="MG34" s="514"/>
      <c r="MH34" s="515"/>
      <c r="MI34" s="515"/>
      <c r="MJ34" s="515"/>
      <c r="MK34" s="515"/>
      <c r="ML34" s="515"/>
      <c r="MM34" s="515"/>
      <c r="MN34" s="515"/>
      <c r="MO34" s="514"/>
      <c r="MP34" s="515"/>
      <c r="MQ34" s="515"/>
      <c r="MR34" s="515"/>
      <c r="MS34" s="515"/>
      <c r="MT34" s="515"/>
      <c r="MU34" s="515"/>
      <c r="MV34" s="515"/>
      <c r="MW34" s="514"/>
      <c r="MX34" s="515"/>
      <c r="MY34" s="515"/>
      <c r="MZ34" s="515"/>
      <c r="NA34" s="515"/>
      <c r="NB34" s="515"/>
      <c r="NC34" s="515"/>
      <c r="ND34" s="515"/>
      <c r="NE34" s="514"/>
      <c r="NF34" s="515"/>
      <c r="NG34" s="515"/>
      <c r="NH34" s="515"/>
      <c r="NI34" s="515"/>
      <c r="NJ34" s="515"/>
      <c r="NK34" s="515"/>
      <c r="NL34" s="515"/>
      <c r="NM34" s="514"/>
      <c r="NN34" s="515"/>
      <c r="NO34" s="515"/>
      <c r="NP34" s="515"/>
      <c r="NQ34" s="515"/>
      <c r="NR34" s="515"/>
      <c r="NS34" s="515"/>
      <c r="NT34" s="515"/>
      <c r="NU34" s="514"/>
      <c r="NV34" s="515"/>
      <c r="NW34" s="515"/>
      <c r="NX34" s="515"/>
      <c r="NY34" s="515"/>
      <c r="NZ34" s="515"/>
      <c r="OA34" s="515"/>
      <c r="OB34" s="515"/>
      <c r="OC34" s="514"/>
      <c r="OD34" s="515"/>
      <c r="OE34" s="515"/>
      <c r="OF34" s="515"/>
      <c r="OG34" s="515"/>
      <c r="OH34" s="515"/>
      <c r="OI34" s="515"/>
      <c r="OJ34" s="515"/>
      <c r="OK34" s="514"/>
      <c r="OL34" s="515"/>
      <c r="OM34" s="515"/>
      <c r="ON34" s="515"/>
      <c r="OO34" s="515"/>
      <c r="OP34" s="515"/>
      <c r="OQ34" s="515"/>
      <c r="OR34" s="515"/>
      <c r="OS34" s="514"/>
      <c r="OT34" s="515"/>
      <c r="OU34" s="515"/>
      <c r="OV34" s="515"/>
      <c r="OW34" s="515"/>
      <c r="OX34" s="515"/>
      <c r="OY34" s="515"/>
      <c r="OZ34" s="515"/>
      <c r="PA34" s="514"/>
      <c r="PB34" s="515"/>
      <c r="PC34" s="515"/>
      <c r="PD34" s="515"/>
      <c r="PE34" s="515"/>
      <c r="PF34" s="515"/>
      <c r="PG34" s="515"/>
      <c r="PH34" s="515"/>
      <c r="PI34" s="514"/>
      <c r="PJ34" s="515"/>
      <c r="PK34" s="515"/>
      <c r="PL34" s="515"/>
      <c r="PM34" s="515"/>
      <c r="PN34" s="515"/>
      <c r="PO34" s="515"/>
      <c r="PP34" s="515"/>
      <c r="PQ34" s="514"/>
      <c r="PR34" s="515"/>
      <c r="PS34" s="515"/>
      <c r="PT34" s="515"/>
      <c r="PU34" s="515"/>
      <c r="PV34" s="515"/>
      <c r="PW34" s="515"/>
      <c r="PX34" s="515"/>
      <c r="PY34" s="514"/>
      <c r="PZ34" s="515"/>
      <c r="QA34" s="515"/>
      <c r="QB34" s="515"/>
      <c r="QC34" s="515"/>
      <c r="QD34" s="515"/>
      <c r="QE34" s="515"/>
      <c r="QF34" s="515"/>
      <c r="QG34" s="514"/>
      <c r="QH34" s="515"/>
      <c r="QI34" s="515"/>
      <c r="QJ34" s="515"/>
      <c r="QK34" s="515"/>
      <c r="QL34" s="515"/>
      <c r="QM34" s="515"/>
      <c r="QN34" s="515"/>
      <c r="QO34" s="514"/>
      <c r="QP34" s="515"/>
      <c r="QQ34" s="515"/>
      <c r="QR34" s="515"/>
      <c r="QS34" s="515"/>
      <c r="QT34" s="515"/>
      <c r="QU34" s="515"/>
      <c r="QV34" s="515"/>
      <c r="QW34" s="514"/>
      <c r="QX34" s="515"/>
      <c r="QY34" s="515"/>
      <c r="QZ34" s="515"/>
      <c r="RA34" s="515"/>
      <c r="RB34" s="515"/>
      <c r="RC34" s="515"/>
      <c r="RD34" s="515"/>
      <c r="RE34" s="514"/>
      <c r="RF34" s="515"/>
      <c r="RG34" s="515"/>
      <c r="RH34" s="515"/>
      <c r="RI34" s="515"/>
      <c r="RJ34" s="515"/>
      <c r="RK34" s="515"/>
      <c r="RL34" s="515"/>
      <c r="RM34" s="514"/>
      <c r="RN34" s="515"/>
      <c r="RO34" s="515"/>
      <c r="RP34" s="515"/>
      <c r="RQ34" s="515"/>
      <c r="RR34" s="515"/>
      <c r="RS34" s="515"/>
      <c r="RT34" s="515"/>
      <c r="RU34" s="514"/>
      <c r="RV34" s="515"/>
      <c r="RW34" s="515"/>
      <c r="RX34" s="515"/>
      <c r="RY34" s="515"/>
      <c r="RZ34" s="515"/>
      <c r="SA34" s="515"/>
      <c r="SB34" s="515"/>
      <c r="SC34" s="514"/>
      <c r="SD34" s="515"/>
      <c r="SE34" s="515"/>
      <c r="SF34" s="515"/>
      <c r="SG34" s="515"/>
      <c r="SH34" s="515"/>
      <c r="SI34" s="515"/>
      <c r="SJ34" s="515"/>
      <c r="SK34" s="514"/>
      <c r="SL34" s="515"/>
      <c r="SM34" s="515"/>
      <c r="SN34" s="515"/>
      <c r="SO34" s="515"/>
      <c r="SP34" s="515"/>
      <c r="SQ34" s="515"/>
      <c r="SR34" s="515"/>
      <c r="SS34" s="514"/>
      <c r="ST34" s="515"/>
      <c r="SU34" s="515"/>
      <c r="SV34" s="515"/>
      <c r="SW34" s="515"/>
      <c r="SX34" s="515"/>
      <c r="SY34" s="515"/>
      <c r="SZ34" s="515"/>
      <c r="TA34" s="514"/>
      <c r="TB34" s="515"/>
      <c r="TC34" s="515"/>
      <c r="TD34" s="515"/>
      <c r="TE34" s="515"/>
      <c r="TF34" s="515"/>
      <c r="TG34" s="515"/>
      <c r="TH34" s="515"/>
      <c r="TI34" s="514"/>
      <c r="TJ34" s="515"/>
      <c r="TK34" s="515"/>
      <c r="TL34" s="515"/>
      <c r="TM34" s="515"/>
      <c r="TN34" s="515"/>
      <c r="TO34" s="515"/>
      <c r="TP34" s="515"/>
      <c r="TQ34" s="514"/>
      <c r="TR34" s="515"/>
      <c r="TS34" s="515"/>
      <c r="TT34" s="515"/>
      <c r="TU34" s="515"/>
      <c r="TV34" s="515"/>
      <c r="TW34" s="515"/>
      <c r="TX34" s="515"/>
      <c r="TY34" s="514"/>
      <c r="TZ34" s="515"/>
      <c r="UA34" s="515"/>
      <c r="UB34" s="515"/>
      <c r="UC34" s="515"/>
      <c r="UD34" s="515"/>
      <c r="UE34" s="515"/>
      <c r="UF34" s="515"/>
      <c r="UG34" s="514"/>
      <c r="UH34" s="515"/>
      <c r="UI34" s="515"/>
      <c r="UJ34" s="515"/>
      <c r="UK34" s="515"/>
      <c r="UL34" s="515"/>
      <c r="UM34" s="515"/>
      <c r="UN34" s="515"/>
      <c r="UO34" s="514"/>
      <c r="UP34" s="515"/>
      <c r="UQ34" s="515"/>
      <c r="UR34" s="515"/>
      <c r="US34" s="515"/>
      <c r="UT34" s="515"/>
      <c r="UU34" s="515"/>
      <c r="UV34" s="515"/>
      <c r="UW34" s="514"/>
      <c r="UX34" s="515"/>
      <c r="UY34" s="515"/>
      <c r="UZ34" s="515"/>
      <c r="VA34" s="515"/>
      <c r="VB34" s="515"/>
      <c r="VC34" s="515"/>
      <c r="VD34" s="515"/>
      <c r="VE34" s="514"/>
      <c r="VF34" s="515"/>
      <c r="VG34" s="515"/>
      <c r="VH34" s="515"/>
      <c r="VI34" s="515"/>
      <c r="VJ34" s="515"/>
      <c r="VK34" s="515"/>
      <c r="VL34" s="515"/>
      <c r="VM34" s="514"/>
      <c r="VN34" s="515"/>
      <c r="VO34" s="515"/>
      <c r="VP34" s="515"/>
      <c r="VQ34" s="515"/>
      <c r="VR34" s="515"/>
      <c r="VS34" s="515"/>
      <c r="VT34" s="515"/>
      <c r="VU34" s="514"/>
      <c r="VV34" s="515"/>
      <c r="VW34" s="515"/>
      <c r="VX34" s="515"/>
      <c r="VY34" s="515"/>
      <c r="VZ34" s="515"/>
      <c r="WA34" s="515"/>
      <c r="WB34" s="515"/>
      <c r="WC34" s="514"/>
      <c r="WD34" s="515"/>
      <c r="WE34" s="515"/>
      <c r="WF34" s="515"/>
      <c r="WG34" s="515"/>
      <c r="WH34" s="515"/>
      <c r="WI34" s="515"/>
      <c r="WJ34" s="515"/>
      <c r="WK34" s="514"/>
      <c r="WL34" s="515"/>
      <c r="WM34" s="515"/>
      <c r="WN34" s="515"/>
      <c r="WO34" s="515"/>
      <c r="WP34" s="515"/>
      <c r="WQ34" s="515"/>
      <c r="WR34" s="515"/>
      <c r="WS34" s="514"/>
      <c r="WT34" s="515"/>
      <c r="WU34" s="515"/>
      <c r="WV34" s="515"/>
      <c r="WW34" s="515"/>
      <c r="WX34" s="515"/>
      <c r="WY34" s="515"/>
      <c r="WZ34" s="515"/>
      <c r="XA34" s="514"/>
      <c r="XB34" s="515"/>
      <c r="XC34" s="515"/>
      <c r="XD34" s="515"/>
      <c r="XE34" s="515"/>
      <c r="XF34" s="515"/>
      <c r="XG34" s="515"/>
      <c r="XH34" s="515"/>
      <c r="XI34" s="514"/>
      <c r="XJ34" s="515"/>
      <c r="XK34" s="515"/>
      <c r="XL34" s="515"/>
      <c r="XM34" s="515"/>
      <c r="XN34" s="515"/>
      <c r="XO34" s="515"/>
      <c r="XP34" s="515"/>
      <c r="XQ34" s="514"/>
      <c r="XR34" s="515"/>
      <c r="XS34" s="515"/>
      <c r="XT34" s="515"/>
      <c r="XU34" s="515"/>
      <c r="XV34" s="515"/>
      <c r="XW34" s="515"/>
      <c r="XX34" s="515"/>
      <c r="XY34" s="514"/>
      <c r="XZ34" s="515"/>
      <c r="YA34" s="515"/>
      <c r="YB34" s="515"/>
      <c r="YC34" s="515"/>
      <c r="YD34" s="515"/>
      <c r="YE34" s="515"/>
      <c r="YF34" s="515"/>
      <c r="YG34" s="514"/>
      <c r="YH34" s="515"/>
      <c r="YI34" s="515"/>
      <c r="YJ34" s="515"/>
      <c r="YK34" s="515"/>
      <c r="YL34" s="515"/>
      <c r="YM34" s="515"/>
      <c r="YN34" s="515"/>
      <c r="YO34" s="514"/>
      <c r="YP34" s="515"/>
      <c r="YQ34" s="515"/>
      <c r="YR34" s="515"/>
      <c r="YS34" s="515"/>
      <c r="YT34" s="515"/>
      <c r="YU34" s="515"/>
      <c r="YV34" s="515"/>
      <c r="YW34" s="514"/>
      <c r="YX34" s="515"/>
      <c r="YY34" s="515"/>
      <c r="YZ34" s="515"/>
      <c r="ZA34" s="515"/>
      <c r="ZB34" s="515"/>
      <c r="ZC34" s="515"/>
      <c r="ZD34" s="515"/>
      <c r="ZE34" s="514"/>
      <c r="ZF34" s="515"/>
      <c r="ZG34" s="515"/>
      <c r="ZH34" s="515"/>
      <c r="ZI34" s="515"/>
      <c r="ZJ34" s="515"/>
      <c r="ZK34" s="515"/>
      <c r="ZL34" s="515"/>
      <c r="ZM34" s="514"/>
      <c r="ZN34" s="515"/>
      <c r="ZO34" s="515"/>
      <c r="ZP34" s="515"/>
      <c r="ZQ34" s="515"/>
      <c r="ZR34" s="515"/>
      <c r="ZS34" s="515"/>
      <c r="ZT34" s="515"/>
      <c r="ZU34" s="514"/>
      <c r="ZV34" s="515"/>
      <c r="ZW34" s="515"/>
      <c r="ZX34" s="515"/>
      <c r="ZY34" s="515"/>
      <c r="ZZ34" s="515"/>
      <c r="AAA34" s="515"/>
      <c r="AAB34" s="515"/>
      <c r="AAC34" s="514"/>
      <c r="AAD34" s="515"/>
      <c r="AAE34" s="515"/>
      <c r="AAF34" s="515"/>
      <c r="AAG34" s="515"/>
      <c r="AAH34" s="515"/>
      <c r="AAI34" s="515"/>
      <c r="AAJ34" s="515"/>
      <c r="AAK34" s="514"/>
      <c r="AAL34" s="515"/>
      <c r="AAM34" s="515"/>
      <c r="AAN34" s="515"/>
      <c r="AAO34" s="515"/>
      <c r="AAP34" s="515"/>
      <c r="AAQ34" s="515"/>
      <c r="AAR34" s="515"/>
      <c r="AAS34" s="514"/>
      <c r="AAT34" s="515"/>
      <c r="AAU34" s="515"/>
      <c r="AAV34" s="515"/>
      <c r="AAW34" s="515"/>
      <c r="AAX34" s="515"/>
      <c r="AAY34" s="515"/>
      <c r="AAZ34" s="515"/>
      <c r="ABA34" s="514"/>
      <c r="ABB34" s="515"/>
      <c r="ABC34" s="515"/>
      <c r="ABD34" s="515"/>
      <c r="ABE34" s="515"/>
      <c r="ABF34" s="515"/>
      <c r="ABG34" s="515"/>
      <c r="ABH34" s="515"/>
      <c r="ABI34" s="514"/>
      <c r="ABJ34" s="515"/>
      <c r="ABK34" s="515"/>
      <c r="ABL34" s="515"/>
      <c r="ABM34" s="515"/>
      <c r="ABN34" s="515"/>
      <c r="ABO34" s="515"/>
      <c r="ABP34" s="515"/>
      <c r="ABQ34" s="514"/>
      <c r="ABR34" s="515"/>
      <c r="ABS34" s="515"/>
      <c r="ABT34" s="515"/>
      <c r="ABU34" s="515"/>
      <c r="ABV34" s="515"/>
      <c r="ABW34" s="515"/>
      <c r="ABX34" s="515"/>
      <c r="ABY34" s="514"/>
      <c r="ABZ34" s="515"/>
      <c r="ACA34" s="515"/>
      <c r="ACB34" s="515"/>
      <c r="ACC34" s="515"/>
      <c r="ACD34" s="515"/>
      <c r="ACE34" s="515"/>
      <c r="ACF34" s="515"/>
      <c r="ACG34" s="514"/>
      <c r="ACH34" s="515"/>
      <c r="ACI34" s="515"/>
      <c r="ACJ34" s="515"/>
      <c r="ACK34" s="515"/>
      <c r="ACL34" s="515"/>
      <c r="ACM34" s="515"/>
      <c r="ACN34" s="515"/>
      <c r="ACO34" s="514"/>
      <c r="ACP34" s="515"/>
      <c r="ACQ34" s="515"/>
      <c r="ACR34" s="515"/>
      <c r="ACS34" s="515"/>
      <c r="ACT34" s="515"/>
      <c r="ACU34" s="515"/>
      <c r="ACV34" s="515"/>
      <c r="ACW34" s="514"/>
      <c r="ACX34" s="515"/>
      <c r="ACY34" s="515"/>
      <c r="ACZ34" s="515"/>
      <c r="ADA34" s="515"/>
      <c r="ADB34" s="515"/>
      <c r="ADC34" s="515"/>
      <c r="ADD34" s="515"/>
      <c r="ADE34" s="514"/>
      <c r="ADF34" s="515"/>
      <c r="ADG34" s="515"/>
      <c r="ADH34" s="515"/>
      <c r="ADI34" s="515"/>
      <c r="ADJ34" s="515"/>
      <c r="ADK34" s="515"/>
      <c r="ADL34" s="515"/>
      <c r="ADM34" s="514"/>
      <c r="ADN34" s="515"/>
      <c r="ADO34" s="515"/>
      <c r="ADP34" s="515"/>
      <c r="ADQ34" s="515"/>
      <c r="ADR34" s="515"/>
      <c r="ADS34" s="515"/>
      <c r="ADT34" s="515"/>
      <c r="ADU34" s="514"/>
      <c r="ADV34" s="515"/>
      <c r="ADW34" s="515"/>
      <c r="ADX34" s="515"/>
      <c r="ADY34" s="515"/>
      <c r="ADZ34" s="515"/>
      <c r="AEA34" s="515"/>
      <c r="AEB34" s="515"/>
      <c r="AEC34" s="514"/>
      <c r="AED34" s="515"/>
      <c r="AEE34" s="515"/>
      <c r="AEF34" s="515"/>
      <c r="AEG34" s="515"/>
      <c r="AEH34" s="515"/>
      <c r="AEI34" s="515"/>
      <c r="AEJ34" s="515"/>
      <c r="AEK34" s="514"/>
      <c r="AEL34" s="515"/>
      <c r="AEM34" s="515"/>
      <c r="AEN34" s="515"/>
      <c r="AEO34" s="515"/>
      <c r="AEP34" s="515"/>
      <c r="AEQ34" s="515"/>
      <c r="AER34" s="515"/>
      <c r="AES34" s="514"/>
      <c r="AET34" s="515"/>
      <c r="AEU34" s="515"/>
      <c r="AEV34" s="515"/>
      <c r="AEW34" s="515"/>
      <c r="AEX34" s="515"/>
      <c r="AEY34" s="515"/>
      <c r="AEZ34" s="515"/>
      <c r="AFA34" s="514"/>
      <c r="AFB34" s="515"/>
      <c r="AFC34" s="515"/>
      <c r="AFD34" s="515"/>
      <c r="AFE34" s="515"/>
      <c r="AFF34" s="515"/>
      <c r="AFG34" s="515"/>
      <c r="AFH34" s="515"/>
      <c r="AFI34" s="514"/>
      <c r="AFJ34" s="515"/>
      <c r="AFK34" s="515"/>
      <c r="AFL34" s="515"/>
      <c r="AFM34" s="515"/>
      <c r="AFN34" s="515"/>
      <c r="AFO34" s="515"/>
      <c r="AFP34" s="515"/>
      <c r="AFQ34" s="514"/>
      <c r="AFR34" s="515"/>
      <c r="AFS34" s="515"/>
      <c r="AFT34" s="515"/>
      <c r="AFU34" s="515"/>
      <c r="AFV34" s="515"/>
      <c r="AFW34" s="515"/>
      <c r="AFX34" s="515"/>
      <c r="AFY34" s="514"/>
      <c r="AFZ34" s="515"/>
      <c r="AGA34" s="515"/>
      <c r="AGB34" s="515"/>
      <c r="AGC34" s="515"/>
      <c r="AGD34" s="515"/>
      <c r="AGE34" s="515"/>
      <c r="AGF34" s="515"/>
      <c r="AGG34" s="514"/>
      <c r="AGH34" s="515"/>
      <c r="AGI34" s="515"/>
      <c r="AGJ34" s="515"/>
      <c r="AGK34" s="515"/>
      <c r="AGL34" s="515"/>
      <c r="AGM34" s="515"/>
      <c r="AGN34" s="515"/>
      <c r="AGO34" s="514"/>
      <c r="AGP34" s="515"/>
      <c r="AGQ34" s="515"/>
      <c r="AGR34" s="515"/>
      <c r="AGS34" s="515"/>
      <c r="AGT34" s="515"/>
      <c r="AGU34" s="515"/>
      <c r="AGV34" s="515"/>
      <c r="AGW34" s="514"/>
      <c r="AGX34" s="515"/>
      <c r="AGY34" s="515"/>
      <c r="AGZ34" s="515"/>
      <c r="AHA34" s="515"/>
      <c r="AHB34" s="515"/>
      <c r="AHC34" s="515"/>
      <c r="AHD34" s="515"/>
      <c r="AHE34" s="514"/>
      <c r="AHF34" s="515"/>
      <c r="AHG34" s="515"/>
      <c r="AHH34" s="515"/>
      <c r="AHI34" s="515"/>
      <c r="AHJ34" s="515"/>
      <c r="AHK34" s="515"/>
      <c r="AHL34" s="515"/>
      <c r="AHM34" s="514"/>
      <c r="AHN34" s="515"/>
      <c r="AHO34" s="515"/>
      <c r="AHP34" s="515"/>
      <c r="AHQ34" s="515"/>
      <c r="AHR34" s="515"/>
      <c r="AHS34" s="515"/>
      <c r="AHT34" s="515"/>
      <c r="AHU34" s="514"/>
      <c r="AHV34" s="515"/>
      <c r="AHW34" s="515"/>
      <c r="AHX34" s="515"/>
      <c r="AHY34" s="515"/>
      <c r="AHZ34" s="515"/>
      <c r="AIA34" s="515"/>
      <c r="AIB34" s="515"/>
      <c r="AIC34" s="514"/>
      <c r="AID34" s="515"/>
      <c r="AIE34" s="515"/>
      <c r="AIF34" s="515"/>
      <c r="AIG34" s="515"/>
      <c r="AIH34" s="515"/>
      <c r="AII34" s="515"/>
      <c r="AIJ34" s="515"/>
      <c r="AIK34" s="514"/>
      <c r="AIL34" s="515"/>
      <c r="AIM34" s="515"/>
      <c r="AIN34" s="515"/>
      <c r="AIO34" s="515"/>
      <c r="AIP34" s="515"/>
      <c r="AIQ34" s="515"/>
      <c r="AIR34" s="515"/>
      <c r="AIS34" s="514"/>
      <c r="AIT34" s="515"/>
      <c r="AIU34" s="515"/>
      <c r="AIV34" s="515"/>
      <c r="AIW34" s="515"/>
      <c r="AIX34" s="515"/>
      <c r="AIY34" s="515"/>
      <c r="AIZ34" s="515"/>
      <c r="AJA34" s="514"/>
      <c r="AJB34" s="515"/>
      <c r="AJC34" s="515"/>
      <c r="AJD34" s="515"/>
      <c r="AJE34" s="515"/>
      <c r="AJF34" s="515"/>
      <c r="AJG34" s="515"/>
      <c r="AJH34" s="515"/>
      <c r="AJI34" s="514"/>
      <c r="AJJ34" s="515"/>
      <c r="AJK34" s="515"/>
      <c r="AJL34" s="515"/>
      <c r="AJM34" s="515"/>
      <c r="AJN34" s="515"/>
      <c r="AJO34" s="515"/>
      <c r="AJP34" s="515"/>
      <c r="AJQ34" s="514"/>
      <c r="AJR34" s="515"/>
      <c r="AJS34" s="515"/>
      <c r="AJT34" s="515"/>
      <c r="AJU34" s="515"/>
      <c r="AJV34" s="515"/>
      <c r="AJW34" s="515"/>
      <c r="AJX34" s="515"/>
      <c r="AJY34" s="514"/>
      <c r="AJZ34" s="515"/>
      <c r="AKA34" s="515"/>
      <c r="AKB34" s="515"/>
      <c r="AKC34" s="515"/>
      <c r="AKD34" s="515"/>
      <c r="AKE34" s="515"/>
      <c r="AKF34" s="515"/>
      <c r="AKG34" s="514"/>
      <c r="AKH34" s="515"/>
      <c r="AKI34" s="515"/>
      <c r="AKJ34" s="515"/>
      <c r="AKK34" s="515"/>
      <c r="AKL34" s="515"/>
      <c r="AKM34" s="515"/>
      <c r="AKN34" s="515"/>
      <c r="AKO34" s="514"/>
      <c r="AKP34" s="515"/>
      <c r="AKQ34" s="515"/>
      <c r="AKR34" s="515"/>
      <c r="AKS34" s="515"/>
      <c r="AKT34" s="515"/>
      <c r="AKU34" s="515"/>
      <c r="AKV34" s="515"/>
      <c r="AKW34" s="514"/>
      <c r="AKX34" s="515"/>
      <c r="AKY34" s="515"/>
      <c r="AKZ34" s="515"/>
      <c r="ALA34" s="515"/>
      <c r="ALB34" s="515"/>
      <c r="ALC34" s="515"/>
      <c r="ALD34" s="515"/>
      <c r="ALE34" s="514"/>
      <c r="ALF34" s="515"/>
      <c r="ALG34" s="515"/>
      <c r="ALH34" s="515"/>
      <c r="ALI34" s="515"/>
      <c r="ALJ34" s="515"/>
      <c r="ALK34" s="515"/>
      <c r="ALL34" s="515"/>
      <c r="ALM34" s="514"/>
      <c r="ALN34" s="515"/>
      <c r="ALO34" s="515"/>
      <c r="ALP34" s="515"/>
      <c r="ALQ34" s="515"/>
      <c r="ALR34" s="515"/>
      <c r="ALS34" s="515"/>
      <c r="ALT34" s="515"/>
      <c r="ALU34" s="514"/>
      <c r="ALV34" s="515"/>
      <c r="ALW34" s="515"/>
      <c r="ALX34" s="515"/>
      <c r="ALY34" s="515"/>
      <c r="ALZ34" s="515"/>
      <c r="AMA34" s="515"/>
      <c r="AMB34" s="515"/>
      <c r="AMC34" s="514"/>
      <c r="AMD34" s="515"/>
      <c r="AME34" s="515"/>
      <c r="AMF34" s="515"/>
      <c r="AMG34" s="515"/>
      <c r="AMH34" s="515"/>
      <c r="AMI34" s="515"/>
      <c r="AMJ34" s="515"/>
      <c r="AMK34" s="514"/>
      <c r="AML34" s="515"/>
      <c r="AMM34" s="515"/>
      <c r="AMN34" s="515"/>
      <c r="AMO34" s="515"/>
      <c r="AMP34" s="515"/>
      <c r="AMQ34" s="515"/>
      <c r="AMR34" s="515"/>
      <c r="AMS34" s="514"/>
      <c r="AMT34" s="515"/>
      <c r="AMU34" s="515"/>
      <c r="AMV34" s="515"/>
      <c r="AMW34" s="515"/>
      <c r="AMX34" s="515"/>
      <c r="AMY34" s="515"/>
      <c r="AMZ34" s="515"/>
      <c r="ANA34" s="514"/>
      <c r="ANB34" s="515"/>
      <c r="ANC34" s="515"/>
      <c r="AND34" s="515"/>
      <c r="ANE34" s="515"/>
      <c r="ANF34" s="515"/>
      <c r="ANG34" s="515"/>
      <c r="ANH34" s="515"/>
      <c r="ANI34" s="514"/>
      <c r="ANJ34" s="515"/>
      <c r="ANK34" s="515"/>
      <c r="ANL34" s="515"/>
      <c r="ANM34" s="515"/>
      <c r="ANN34" s="515"/>
      <c r="ANO34" s="515"/>
      <c r="ANP34" s="515"/>
      <c r="ANQ34" s="514"/>
      <c r="ANR34" s="515"/>
      <c r="ANS34" s="515"/>
      <c r="ANT34" s="515"/>
      <c r="ANU34" s="515"/>
      <c r="ANV34" s="515"/>
      <c r="ANW34" s="515"/>
      <c r="ANX34" s="515"/>
      <c r="ANY34" s="514"/>
      <c r="ANZ34" s="515"/>
      <c r="AOA34" s="515"/>
      <c r="AOB34" s="515"/>
      <c r="AOC34" s="515"/>
      <c r="AOD34" s="515"/>
      <c r="AOE34" s="515"/>
      <c r="AOF34" s="515"/>
      <c r="AOG34" s="514"/>
      <c r="AOH34" s="515"/>
      <c r="AOI34" s="515"/>
      <c r="AOJ34" s="515"/>
      <c r="AOK34" s="515"/>
      <c r="AOL34" s="515"/>
      <c r="AOM34" s="515"/>
      <c r="AON34" s="515"/>
      <c r="AOO34" s="514"/>
      <c r="AOP34" s="515"/>
      <c r="AOQ34" s="515"/>
      <c r="AOR34" s="515"/>
      <c r="AOS34" s="515"/>
      <c r="AOT34" s="515"/>
      <c r="AOU34" s="515"/>
      <c r="AOV34" s="515"/>
      <c r="AOW34" s="514"/>
      <c r="AOX34" s="515"/>
      <c r="AOY34" s="515"/>
      <c r="AOZ34" s="515"/>
      <c r="APA34" s="515"/>
      <c r="APB34" s="515"/>
      <c r="APC34" s="515"/>
      <c r="APD34" s="515"/>
      <c r="APE34" s="514"/>
      <c r="APF34" s="515"/>
      <c r="APG34" s="515"/>
      <c r="APH34" s="515"/>
      <c r="API34" s="515"/>
      <c r="APJ34" s="515"/>
      <c r="APK34" s="515"/>
      <c r="APL34" s="515"/>
      <c r="APM34" s="514"/>
      <c r="APN34" s="515"/>
      <c r="APO34" s="515"/>
      <c r="APP34" s="515"/>
      <c r="APQ34" s="515"/>
      <c r="APR34" s="515"/>
      <c r="APS34" s="515"/>
      <c r="APT34" s="515"/>
      <c r="APU34" s="514"/>
      <c r="APV34" s="515"/>
      <c r="APW34" s="515"/>
      <c r="APX34" s="515"/>
      <c r="APY34" s="515"/>
      <c r="APZ34" s="515"/>
      <c r="AQA34" s="515"/>
      <c r="AQB34" s="515"/>
      <c r="AQC34" s="514"/>
      <c r="AQD34" s="515"/>
      <c r="AQE34" s="515"/>
      <c r="AQF34" s="515"/>
      <c r="AQG34" s="515"/>
      <c r="AQH34" s="515"/>
      <c r="AQI34" s="515"/>
      <c r="AQJ34" s="515"/>
      <c r="AQK34" s="514"/>
      <c r="AQL34" s="515"/>
      <c r="AQM34" s="515"/>
      <c r="AQN34" s="515"/>
      <c r="AQO34" s="515"/>
      <c r="AQP34" s="515"/>
      <c r="AQQ34" s="515"/>
      <c r="AQR34" s="515"/>
      <c r="AQS34" s="514"/>
      <c r="AQT34" s="515"/>
      <c r="AQU34" s="515"/>
      <c r="AQV34" s="515"/>
      <c r="AQW34" s="515"/>
      <c r="AQX34" s="515"/>
      <c r="AQY34" s="515"/>
      <c r="AQZ34" s="515"/>
      <c r="ARA34" s="514"/>
      <c r="ARB34" s="515"/>
      <c r="ARC34" s="515"/>
      <c r="ARD34" s="515"/>
      <c r="ARE34" s="515"/>
      <c r="ARF34" s="515"/>
      <c r="ARG34" s="515"/>
      <c r="ARH34" s="515"/>
      <c r="ARI34" s="514"/>
      <c r="ARJ34" s="515"/>
      <c r="ARK34" s="515"/>
      <c r="ARL34" s="515"/>
      <c r="ARM34" s="515"/>
      <c r="ARN34" s="515"/>
      <c r="ARO34" s="515"/>
      <c r="ARP34" s="515"/>
      <c r="ARQ34" s="514"/>
      <c r="ARR34" s="515"/>
      <c r="ARS34" s="515"/>
      <c r="ART34" s="515"/>
      <c r="ARU34" s="515"/>
      <c r="ARV34" s="515"/>
      <c r="ARW34" s="515"/>
      <c r="ARX34" s="515"/>
      <c r="ARY34" s="514"/>
      <c r="ARZ34" s="515"/>
      <c r="ASA34" s="515"/>
      <c r="ASB34" s="515"/>
      <c r="ASC34" s="515"/>
      <c r="ASD34" s="515"/>
      <c r="ASE34" s="515"/>
      <c r="ASF34" s="515"/>
      <c r="ASG34" s="514"/>
      <c r="ASH34" s="515"/>
      <c r="ASI34" s="515"/>
      <c r="ASJ34" s="515"/>
      <c r="ASK34" s="515"/>
      <c r="ASL34" s="515"/>
      <c r="ASM34" s="515"/>
      <c r="ASN34" s="515"/>
      <c r="ASO34" s="514"/>
      <c r="ASP34" s="515"/>
      <c r="ASQ34" s="515"/>
      <c r="ASR34" s="515"/>
      <c r="ASS34" s="515"/>
      <c r="AST34" s="515"/>
      <c r="ASU34" s="515"/>
      <c r="ASV34" s="515"/>
      <c r="ASW34" s="514"/>
      <c r="ASX34" s="515"/>
      <c r="ASY34" s="515"/>
      <c r="ASZ34" s="515"/>
      <c r="ATA34" s="515"/>
      <c r="ATB34" s="515"/>
      <c r="ATC34" s="515"/>
      <c r="ATD34" s="515"/>
      <c r="ATE34" s="514"/>
      <c r="ATF34" s="515"/>
      <c r="ATG34" s="515"/>
      <c r="ATH34" s="515"/>
      <c r="ATI34" s="515"/>
      <c r="ATJ34" s="515"/>
      <c r="ATK34" s="515"/>
      <c r="ATL34" s="515"/>
      <c r="ATM34" s="514"/>
      <c r="ATN34" s="515"/>
      <c r="ATO34" s="515"/>
      <c r="ATP34" s="515"/>
      <c r="ATQ34" s="515"/>
      <c r="ATR34" s="515"/>
      <c r="ATS34" s="515"/>
      <c r="ATT34" s="515"/>
      <c r="ATU34" s="514"/>
      <c r="ATV34" s="515"/>
      <c r="ATW34" s="515"/>
      <c r="ATX34" s="515"/>
      <c r="ATY34" s="515"/>
      <c r="ATZ34" s="515"/>
      <c r="AUA34" s="515"/>
      <c r="AUB34" s="515"/>
      <c r="AUC34" s="514"/>
      <c r="AUD34" s="515"/>
      <c r="AUE34" s="515"/>
      <c r="AUF34" s="515"/>
      <c r="AUG34" s="515"/>
      <c r="AUH34" s="515"/>
      <c r="AUI34" s="515"/>
      <c r="AUJ34" s="515"/>
      <c r="AUK34" s="514"/>
      <c r="AUL34" s="515"/>
      <c r="AUM34" s="515"/>
      <c r="AUN34" s="515"/>
      <c r="AUO34" s="515"/>
      <c r="AUP34" s="515"/>
      <c r="AUQ34" s="515"/>
      <c r="AUR34" s="515"/>
      <c r="AUS34" s="514"/>
      <c r="AUT34" s="515"/>
      <c r="AUU34" s="515"/>
      <c r="AUV34" s="515"/>
      <c r="AUW34" s="515"/>
      <c r="AUX34" s="515"/>
      <c r="AUY34" s="515"/>
      <c r="AUZ34" s="515"/>
      <c r="AVA34" s="514"/>
      <c r="AVB34" s="515"/>
      <c r="AVC34" s="515"/>
      <c r="AVD34" s="515"/>
      <c r="AVE34" s="515"/>
      <c r="AVF34" s="515"/>
      <c r="AVG34" s="515"/>
      <c r="AVH34" s="515"/>
      <c r="AVI34" s="514"/>
      <c r="AVJ34" s="515"/>
      <c r="AVK34" s="515"/>
      <c r="AVL34" s="515"/>
      <c r="AVM34" s="515"/>
      <c r="AVN34" s="515"/>
      <c r="AVO34" s="515"/>
      <c r="AVP34" s="515"/>
      <c r="AVQ34" s="514"/>
      <c r="AVR34" s="515"/>
      <c r="AVS34" s="515"/>
      <c r="AVT34" s="515"/>
      <c r="AVU34" s="515"/>
      <c r="AVV34" s="515"/>
      <c r="AVW34" s="515"/>
      <c r="AVX34" s="515"/>
      <c r="AVY34" s="514"/>
      <c r="AVZ34" s="515"/>
      <c r="AWA34" s="515"/>
      <c r="AWB34" s="515"/>
      <c r="AWC34" s="515"/>
      <c r="AWD34" s="515"/>
      <c r="AWE34" s="515"/>
      <c r="AWF34" s="515"/>
      <c r="AWG34" s="514"/>
      <c r="AWH34" s="515"/>
      <c r="AWI34" s="515"/>
      <c r="AWJ34" s="515"/>
      <c r="AWK34" s="515"/>
      <c r="AWL34" s="515"/>
      <c r="AWM34" s="515"/>
      <c r="AWN34" s="515"/>
      <c r="AWO34" s="514"/>
      <c r="AWP34" s="515"/>
      <c r="AWQ34" s="515"/>
      <c r="AWR34" s="515"/>
      <c r="AWS34" s="515"/>
      <c r="AWT34" s="515"/>
      <c r="AWU34" s="515"/>
      <c r="AWV34" s="515"/>
      <c r="AWW34" s="514"/>
      <c r="AWX34" s="515"/>
      <c r="AWY34" s="515"/>
      <c r="AWZ34" s="515"/>
      <c r="AXA34" s="515"/>
      <c r="AXB34" s="515"/>
      <c r="AXC34" s="515"/>
      <c r="AXD34" s="515"/>
      <c r="AXE34" s="514"/>
      <c r="AXF34" s="515"/>
      <c r="AXG34" s="515"/>
      <c r="AXH34" s="515"/>
      <c r="AXI34" s="515"/>
      <c r="AXJ34" s="515"/>
      <c r="AXK34" s="515"/>
      <c r="AXL34" s="515"/>
      <c r="AXM34" s="514"/>
      <c r="AXN34" s="515"/>
      <c r="AXO34" s="515"/>
      <c r="AXP34" s="515"/>
      <c r="AXQ34" s="515"/>
      <c r="AXR34" s="515"/>
      <c r="AXS34" s="515"/>
      <c r="AXT34" s="515"/>
      <c r="AXU34" s="514"/>
      <c r="AXV34" s="515"/>
      <c r="AXW34" s="515"/>
      <c r="AXX34" s="515"/>
      <c r="AXY34" s="515"/>
      <c r="AXZ34" s="515"/>
      <c r="AYA34" s="515"/>
      <c r="AYB34" s="515"/>
      <c r="AYC34" s="514"/>
      <c r="AYD34" s="515"/>
      <c r="AYE34" s="515"/>
      <c r="AYF34" s="515"/>
      <c r="AYG34" s="515"/>
      <c r="AYH34" s="515"/>
      <c r="AYI34" s="515"/>
      <c r="AYJ34" s="515"/>
      <c r="AYK34" s="514"/>
      <c r="AYL34" s="515"/>
      <c r="AYM34" s="515"/>
      <c r="AYN34" s="515"/>
      <c r="AYO34" s="515"/>
      <c r="AYP34" s="515"/>
      <c r="AYQ34" s="515"/>
      <c r="AYR34" s="515"/>
      <c r="AYS34" s="514"/>
      <c r="AYT34" s="515"/>
      <c r="AYU34" s="515"/>
      <c r="AYV34" s="515"/>
      <c r="AYW34" s="515"/>
      <c r="AYX34" s="515"/>
      <c r="AYY34" s="515"/>
      <c r="AYZ34" s="515"/>
      <c r="AZA34" s="514"/>
      <c r="AZB34" s="515"/>
      <c r="AZC34" s="515"/>
      <c r="AZD34" s="515"/>
      <c r="AZE34" s="515"/>
      <c r="AZF34" s="515"/>
      <c r="AZG34" s="515"/>
      <c r="AZH34" s="515"/>
      <c r="AZI34" s="514"/>
      <c r="AZJ34" s="515"/>
      <c r="AZK34" s="515"/>
      <c r="AZL34" s="515"/>
      <c r="AZM34" s="515"/>
      <c r="AZN34" s="515"/>
      <c r="AZO34" s="515"/>
      <c r="AZP34" s="515"/>
      <c r="AZQ34" s="514"/>
      <c r="AZR34" s="515"/>
      <c r="AZS34" s="515"/>
      <c r="AZT34" s="515"/>
      <c r="AZU34" s="515"/>
      <c r="AZV34" s="515"/>
      <c r="AZW34" s="515"/>
      <c r="AZX34" s="515"/>
      <c r="AZY34" s="514"/>
      <c r="AZZ34" s="515"/>
      <c r="BAA34" s="515"/>
      <c r="BAB34" s="515"/>
      <c r="BAC34" s="515"/>
      <c r="BAD34" s="515"/>
      <c r="BAE34" s="515"/>
      <c r="BAF34" s="515"/>
      <c r="BAG34" s="514"/>
      <c r="BAH34" s="515"/>
      <c r="BAI34" s="515"/>
      <c r="BAJ34" s="515"/>
      <c r="BAK34" s="515"/>
      <c r="BAL34" s="515"/>
      <c r="BAM34" s="515"/>
      <c r="BAN34" s="515"/>
      <c r="BAO34" s="514"/>
      <c r="BAP34" s="515"/>
      <c r="BAQ34" s="515"/>
      <c r="BAR34" s="515"/>
      <c r="BAS34" s="515"/>
      <c r="BAT34" s="515"/>
      <c r="BAU34" s="515"/>
      <c r="BAV34" s="515"/>
      <c r="BAW34" s="514"/>
      <c r="BAX34" s="515"/>
      <c r="BAY34" s="515"/>
      <c r="BAZ34" s="515"/>
      <c r="BBA34" s="515"/>
      <c r="BBB34" s="515"/>
      <c r="BBC34" s="515"/>
      <c r="BBD34" s="515"/>
      <c r="BBE34" s="514"/>
      <c r="BBF34" s="515"/>
      <c r="BBG34" s="515"/>
      <c r="BBH34" s="515"/>
      <c r="BBI34" s="515"/>
      <c r="BBJ34" s="515"/>
      <c r="BBK34" s="515"/>
      <c r="BBL34" s="515"/>
      <c r="BBM34" s="514"/>
      <c r="BBN34" s="515"/>
      <c r="BBO34" s="515"/>
      <c r="BBP34" s="515"/>
      <c r="BBQ34" s="515"/>
      <c r="BBR34" s="515"/>
      <c r="BBS34" s="515"/>
      <c r="BBT34" s="515"/>
      <c r="BBU34" s="514"/>
      <c r="BBV34" s="515"/>
      <c r="BBW34" s="515"/>
      <c r="BBX34" s="515"/>
      <c r="BBY34" s="515"/>
      <c r="BBZ34" s="515"/>
      <c r="BCA34" s="515"/>
      <c r="BCB34" s="515"/>
      <c r="BCC34" s="514"/>
      <c r="BCD34" s="515"/>
      <c r="BCE34" s="515"/>
      <c r="BCF34" s="515"/>
      <c r="BCG34" s="515"/>
      <c r="BCH34" s="515"/>
      <c r="BCI34" s="515"/>
      <c r="BCJ34" s="515"/>
      <c r="BCK34" s="514"/>
      <c r="BCL34" s="515"/>
      <c r="BCM34" s="515"/>
      <c r="BCN34" s="515"/>
      <c r="BCO34" s="515"/>
      <c r="BCP34" s="515"/>
      <c r="BCQ34" s="515"/>
      <c r="BCR34" s="515"/>
      <c r="BCS34" s="514"/>
      <c r="BCT34" s="515"/>
      <c r="BCU34" s="515"/>
      <c r="BCV34" s="515"/>
      <c r="BCW34" s="515"/>
      <c r="BCX34" s="515"/>
      <c r="BCY34" s="515"/>
      <c r="BCZ34" s="515"/>
      <c r="BDA34" s="514"/>
      <c r="BDB34" s="515"/>
      <c r="BDC34" s="515"/>
      <c r="BDD34" s="515"/>
      <c r="BDE34" s="515"/>
      <c r="BDF34" s="515"/>
      <c r="BDG34" s="515"/>
      <c r="BDH34" s="515"/>
      <c r="BDI34" s="514"/>
      <c r="BDJ34" s="515"/>
      <c r="BDK34" s="515"/>
      <c r="BDL34" s="515"/>
      <c r="BDM34" s="515"/>
      <c r="BDN34" s="515"/>
      <c r="BDO34" s="515"/>
      <c r="BDP34" s="515"/>
      <c r="BDQ34" s="514"/>
      <c r="BDR34" s="515"/>
      <c r="BDS34" s="515"/>
      <c r="BDT34" s="515"/>
      <c r="BDU34" s="515"/>
      <c r="BDV34" s="515"/>
      <c r="BDW34" s="515"/>
      <c r="BDX34" s="515"/>
      <c r="BDY34" s="514"/>
      <c r="BDZ34" s="515"/>
      <c r="BEA34" s="515"/>
      <c r="BEB34" s="515"/>
      <c r="BEC34" s="515"/>
      <c r="BED34" s="515"/>
      <c r="BEE34" s="515"/>
      <c r="BEF34" s="515"/>
      <c r="BEG34" s="514"/>
      <c r="BEH34" s="515"/>
      <c r="BEI34" s="515"/>
      <c r="BEJ34" s="515"/>
      <c r="BEK34" s="515"/>
      <c r="BEL34" s="515"/>
      <c r="BEM34" s="515"/>
      <c r="BEN34" s="515"/>
      <c r="BEO34" s="514"/>
      <c r="BEP34" s="515"/>
      <c r="BEQ34" s="515"/>
      <c r="BER34" s="515"/>
      <c r="BES34" s="515"/>
      <c r="BET34" s="515"/>
      <c r="BEU34" s="515"/>
      <c r="BEV34" s="515"/>
      <c r="BEW34" s="514"/>
      <c r="BEX34" s="515"/>
      <c r="BEY34" s="515"/>
      <c r="BEZ34" s="515"/>
      <c r="BFA34" s="515"/>
      <c r="BFB34" s="515"/>
      <c r="BFC34" s="515"/>
      <c r="BFD34" s="515"/>
      <c r="BFE34" s="514"/>
      <c r="BFF34" s="515"/>
      <c r="BFG34" s="515"/>
      <c r="BFH34" s="515"/>
      <c r="BFI34" s="515"/>
      <c r="BFJ34" s="515"/>
      <c r="BFK34" s="515"/>
      <c r="BFL34" s="515"/>
      <c r="BFM34" s="514"/>
      <c r="BFN34" s="515"/>
      <c r="BFO34" s="515"/>
      <c r="BFP34" s="515"/>
      <c r="BFQ34" s="515"/>
      <c r="BFR34" s="515"/>
      <c r="BFS34" s="515"/>
      <c r="BFT34" s="515"/>
      <c r="BFU34" s="514"/>
      <c r="BFV34" s="515"/>
      <c r="BFW34" s="515"/>
      <c r="BFX34" s="515"/>
      <c r="BFY34" s="515"/>
      <c r="BFZ34" s="515"/>
      <c r="BGA34" s="515"/>
      <c r="BGB34" s="515"/>
      <c r="BGC34" s="514"/>
      <c r="BGD34" s="515"/>
      <c r="BGE34" s="515"/>
      <c r="BGF34" s="515"/>
      <c r="BGG34" s="515"/>
      <c r="BGH34" s="515"/>
      <c r="BGI34" s="515"/>
      <c r="BGJ34" s="515"/>
      <c r="BGK34" s="514"/>
      <c r="BGL34" s="515"/>
      <c r="BGM34" s="515"/>
      <c r="BGN34" s="515"/>
      <c r="BGO34" s="515"/>
      <c r="BGP34" s="515"/>
      <c r="BGQ34" s="515"/>
      <c r="BGR34" s="515"/>
      <c r="BGS34" s="514"/>
      <c r="BGT34" s="515"/>
      <c r="BGU34" s="515"/>
      <c r="BGV34" s="515"/>
      <c r="BGW34" s="515"/>
      <c r="BGX34" s="515"/>
      <c r="BGY34" s="515"/>
      <c r="BGZ34" s="515"/>
      <c r="BHA34" s="514"/>
      <c r="BHB34" s="515"/>
      <c r="BHC34" s="515"/>
      <c r="BHD34" s="515"/>
      <c r="BHE34" s="515"/>
      <c r="BHF34" s="515"/>
      <c r="BHG34" s="515"/>
      <c r="BHH34" s="515"/>
      <c r="BHI34" s="514"/>
      <c r="BHJ34" s="515"/>
      <c r="BHK34" s="515"/>
      <c r="BHL34" s="515"/>
      <c r="BHM34" s="515"/>
      <c r="BHN34" s="515"/>
      <c r="BHO34" s="515"/>
      <c r="BHP34" s="515"/>
      <c r="BHQ34" s="514"/>
      <c r="BHR34" s="515"/>
      <c r="BHS34" s="515"/>
      <c r="BHT34" s="515"/>
      <c r="BHU34" s="515"/>
      <c r="BHV34" s="515"/>
      <c r="BHW34" s="515"/>
      <c r="BHX34" s="515"/>
      <c r="BHY34" s="514"/>
      <c r="BHZ34" s="515"/>
      <c r="BIA34" s="515"/>
      <c r="BIB34" s="515"/>
      <c r="BIC34" s="515"/>
      <c r="BID34" s="515"/>
      <c r="BIE34" s="515"/>
      <c r="BIF34" s="515"/>
      <c r="BIG34" s="514"/>
      <c r="BIH34" s="515"/>
      <c r="BII34" s="515"/>
      <c r="BIJ34" s="515"/>
      <c r="BIK34" s="515"/>
      <c r="BIL34" s="515"/>
      <c r="BIM34" s="515"/>
      <c r="BIN34" s="515"/>
      <c r="BIO34" s="514"/>
      <c r="BIP34" s="515"/>
      <c r="BIQ34" s="515"/>
      <c r="BIR34" s="515"/>
      <c r="BIS34" s="515"/>
      <c r="BIT34" s="515"/>
      <c r="BIU34" s="515"/>
      <c r="BIV34" s="515"/>
      <c r="BIW34" s="514"/>
      <c r="BIX34" s="515"/>
      <c r="BIY34" s="515"/>
      <c r="BIZ34" s="515"/>
      <c r="BJA34" s="515"/>
      <c r="BJB34" s="515"/>
      <c r="BJC34" s="515"/>
      <c r="BJD34" s="515"/>
      <c r="BJE34" s="514"/>
      <c r="BJF34" s="515"/>
      <c r="BJG34" s="515"/>
      <c r="BJH34" s="515"/>
      <c r="BJI34" s="515"/>
      <c r="BJJ34" s="515"/>
      <c r="BJK34" s="515"/>
      <c r="BJL34" s="515"/>
      <c r="BJM34" s="514"/>
      <c r="BJN34" s="515"/>
      <c r="BJO34" s="515"/>
      <c r="BJP34" s="515"/>
      <c r="BJQ34" s="515"/>
      <c r="BJR34" s="515"/>
      <c r="BJS34" s="515"/>
      <c r="BJT34" s="515"/>
      <c r="BJU34" s="514"/>
      <c r="BJV34" s="515"/>
      <c r="BJW34" s="515"/>
      <c r="BJX34" s="515"/>
      <c r="BJY34" s="515"/>
      <c r="BJZ34" s="515"/>
      <c r="BKA34" s="515"/>
      <c r="BKB34" s="515"/>
      <c r="BKC34" s="514"/>
      <c r="BKD34" s="515"/>
      <c r="BKE34" s="515"/>
      <c r="BKF34" s="515"/>
      <c r="BKG34" s="515"/>
      <c r="BKH34" s="515"/>
      <c r="BKI34" s="515"/>
      <c r="BKJ34" s="515"/>
      <c r="BKK34" s="514"/>
      <c r="BKL34" s="515"/>
      <c r="BKM34" s="515"/>
      <c r="BKN34" s="515"/>
      <c r="BKO34" s="515"/>
      <c r="BKP34" s="515"/>
      <c r="BKQ34" s="515"/>
      <c r="BKR34" s="515"/>
      <c r="BKS34" s="514"/>
      <c r="BKT34" s="515"/>
      <c r="BKU34" s="515"/>
      <c r="BKV34" s="515"/>
      <c r="BKW34" s="515"/>
      <c r="BKX34" s="515"/>
      <c r="BKY34" s="515"/>
      <c r="BKZ34" s="515"/>
      <c r="BLA34" s="514"/>
      <c r="BLB34" s="515"/>
      <c r="BLC34" s="515"/>
      <c r="BLD34" s="515"/>
      <c r="BLE34" s="515"/>
      <c r="BLF34" s="515"/>
      <c r="BLG34" s="515"/>
      <c r="BLH34" s="515"/>
      <c r="BLI34" s="514"/>
      <c r="BLJ34" s="515"/>
      <c r="BLK34" s="515"/>
      <c r="BLL34" s="515"/>
      <c r="BLM34" s="515"/>
      <c r="BLN34" s="515"/>
      <c r="BLO34" s="515"/>
      <c r="BLP34" s="515"/>
      <c r="BLQ34" s="514"/>
      <c r="BLR34" s="515"/>
      <c r="BLS34" s="515"/>
      <c r="BLT34" s="515"/>
      <c r="BLU34" s="515"/>
      <c r="BLV34" s="515"/>
      <c r="BLW34" s="515"/>
      <c r="BLX34" s="515"/>
      <c r="BLY34" s="514"/>
      <c r="BLZ34" s="515"/>
      <c r="BMA34" s="515"/>
      <c r="BMB34" s="515"/>
      <c r="BMC34" s="515"/>
      <c r="BMD34" s="515"/>
      <c r="BME34" s="515"/>
      <c r="BMF34" s="515"/>
      <c r="BMG34" s="514"/>
      <c r="BMH34" s="515"/>
      <c r="BMI34" s="515"/>
      <c r="BMJ34" s="515"/>
      <c r="BMK34" s="515"/>
      <c r="BML34" s="515"/>
      <c r="BMM34" s="515"/>
      <c r="BMN34" s="515"/>
      <c r="BMO34" s="514"/>
      <c r="BMP34" s="515"/>
      <c r="BMQ34" s="515"/>
      <c r="BMR34" s="515"/>
      <c r="BMS34" s="515"/>
      <c r="BMT34" s="515"/>
      <c r="BMU34" s="515"/>
      <c r="BMV34" s="515"/>
      <c r="BMW34" s="514"/>
      <c r="BMX34" s="515"/>
      <c r="BMY34" s="515"/>
      <c r="BMZ34" s="515"/>
      <c r="BNA34" s="515"/>
      <c r="BNB34" s="515"/>
      <c r="BNC34" s="515"/>
      <c r="BND34" s="515"/>
      <c r="BNE34" s="514"/>
      <c r="BNF34" s="515"/>
      <c r="BNG34" s="515"/>
      <c r="BNH34" s="515"/>
      <c r="BNI34" s="515"/>
      <c r="BNJ34" s="515"/>
      <c r="BNK34" s="515"/>
      <c r="BNL34" s="515"/>
      <c r="BNM34" s="514"/>
      <c r="BNN34" s="515"/>
      <c r="BNO34" s="515"/>
      <c r="BNP34" s="515"/>
      <c r="BNQ34" s="515"/>
      <c r="BNR34" s="515"/>
      <c r="BNS34" s="515"/>
      <c r="BNT34" s="515"/>
      <c r="BNU34" s="514"/>
      <c r="BNV34" s="515"/>
      <c r="BNW34" s="515"/>
      <c r="BNX34" s="515"/>
      <c r="BNY34" s="515"/>
      <c r="BNZ34" s="515"/>
      <c r="BOA34" s="515"/>
      <c r="BOB34" s="515"/>
      <c r="BOC34" s="514"/>
      <c r="BOD34" s="515"/>
      <c r="BOE34" s="515"/>
      <c r="BOF34" s="515"/>
      <c r="BOG34" s="515"/>
      <c r="BOH34" s="515"/>
      <c r="BOI34" s="515"/>
      <c r="BOJ34" s="515"/>
      <c r="BOK34" s="514"/>
      <c r="BOL34" s="515"/>
      <c r="BOM34" s="515"/>
      <c r="BON34" s="515"/>
      <c r="BOO34" s="515"/>
      <c r="BOP34" s="515"/>
      <c r="BOQ34" s="515"/>
      <c r="BOR34" s="515"/>
      <c r="BOS34" s="514"/>
      <c r="BOT34" s="515"/>
      <c r="BOU34" s="515"/>
      <c r="BOV34" s="515"/>
      <c r="BOW34" s="515"/>
      <c r="BOX34" s="515"/>
      <c r="BOY34" s="515"/>
      <c r="BOZ34" s="515"/>
      <c r="BPA34" s="514"/>
      <c r="BPB34" s="515"/>
      <c r="BPC34" s="515"/>
      <c r="BPD34" s="515"/>
      <c r="BPE34" s="515"/>
      <c r="BPF34" s="515"/>
      <c r="BPG34" s="515"/>
      <c r="BPH34" s="515"/>
      <c r="BPI34" s="514"/>
      <c r="BPJ34" s="515"/>
      <c r="BPK34" s="515"/>
      <c r="BPL34" s="515"/>
      <c r="BPM34" s="515"/>
      <c r="BPN34" s="515"/>
      <c r="BPO34" s="515"/>
      <c r="BPP34" s="515"/>
      <c r="BPQ34" s="514"/>
      <c r="BPR34" s="515"/>
      <c r="BPS34" s="515"/>
      <c r="BPT34" s="515"/>
      <c r="BPU34" s="515"/>
      <c r="BPV34" s="515"/>
      <c r="BPW34" s="515"/>
      <c r="BPX34" s="515"/>
      <c r="BPY34" s="514"/>
      <c r="BPZ34" s="515"/>
      <c r="BQA34" s="515"/>
      <c r="BQB34" s="515"/>
      <c r="BQC34" s="515"/>
      <c r="BQD34" s="515"/>
      <c r="BQE34" s="515"/>
      <c r="BQF34" s="515"/>
      <c r="BQG34" s="514"/>
      <c r="BQH34" s="515"/>
      <c r="BQI34" s="515"/>
      <c r="BQJ34" s="515"/>
      <c r="BQK34" s="515"/>
      <c r="BQL34" s="515"/>
      <c r="BQM34" s="515"/>
      <c r="BQN34" s="515"/>
      <c r="BQO34" s="514"/>
      <c r="BQP34" s="515"/>
      <c r="BQQ34" s="515"/>
      <c r="BQR34" s="515"/>
      <c r="BQS34" s="515"/>
      <c r="BQT34" s="515"/>
      <c r="BQU34" s="515"/>
      <c r="BQV34" s="515"/>
      <c r="BQW34" s="514"/>
      <c r="BQX34" s="515"/>
      <c r="BQY34" s="515"/>
      <c r="BQZ34" s="515"/>
      <c r="BRA34" s="515"/>
      <c r="BRB34" s="515"/>
      <c r="BRC34" s="515"/>
      <c r="BRD34" s="515"/>
      <c r="BRE34" s="514"/>
      <c r="BRF34" s="515"/>
      <c r="BRG34" s="515"/>
      <c r="BRH34" s="515"/>
      <c r="BRI34" s="515"/>
      <c r="BRJ34" s="515"/>
      <c r="BRK34" s="515"/>
      <c r="BRL34" s="515"/>
      <c r="BRM34" s="514"/>
      <c r="BRN34" s="515"/>
      <c r="BRO34" s="515"/>
      <c r="BRP34" s="515"/>
      <c r="BRQ34" s="515"/>
      <c r="BRR34" s="515"/>
      <c r="BRS34" s="515"/>
      <c r="BRT34" s="515"/>
      <c r="BRU34" s="514"/>
      <c r="BRV34" s="515"/>
      <c r="BRW34" s="515"/>
      <c r="BRX34" s="515"/>
      <c r="BRY34" s="515"/>
      <c r="BRZ34" s="515"/>
      <c r="BSA34" s="515"/>
      <c r="BSB34" s="515"/>
      <c r="BSC34" s="514"/>
      <c r="BSD34" s="515"/>
      <c r="BSE34" s="515"/>
      <c r="BSF34" s="515"/>
      <c r="BSG34" s="515"/>
      <c r="BSH34" s="515"/>
      <c r="BSI34" s="515"/>
      <c r="BSJ34" s="515"/>
      <c r="BSK34" s="514"/>
      <c r="BSL34" s="515"/>
      <c r="BSM34" s="515"/>
      <c r="BSN34" s="515"/>
      <c r="BSO34" s="515"/>
      <c r="BSP34" s="515"/>
      <c r="BSQ34" s="515"/>
      <c r="BSR34" s="515"/>
      <c r="BSS34" s="514"/>
      <c r="BST34" s="515"/>
      <c r="BSU34" s="515"/>
      <c r="BSV34" s="515"/>
      <c r="BSW34" s="515"/>
      <c r="BSX34" s="515"/>
      <c r="BSY34" s="515"/>
      <c r="BSZ34" s="515"/>
      <c r="BTA34" s="514"/>
      <c r="BTB34" s="515"/>
      <c r="BTC34" s="515"/>
      <c r="BTD34" s="515"/>
      <c r="BTE34" s="515"/>
      <c r="BTF34" s="515"/>
      <c r="BTG34" s="515"/>
      <c r="BTH34" s="515"/>
      <c r="BTI34" s="514"/>
      <c r="BTJ34" s="515"/>
      <c r="BTK34" s="515"/>
      <c r="BTL34" s="515"/>
      <c r="BTM34" s="515"/>
      <c r="BTN34" s="515"/>
      <c r="BTO34" s="515"/>
      <c r="BTP34" s="515"/>
      <c r="BTQ34" s="514"/>
      <c r="BTR34" s="515"/>
      <c r="BTS34" s="515"/>
      <c r="BTT34" s="515"/>
      <c r="BTU34" s="515"/>
      <c r="BTV34" s="515"/>
      <c r="BTW34" s="515"/>
      <c r="BTX34" s="515"/>
      <c r="BTY34" s="514"/>
      <c r="BTZ34" s="515"/>
      <c r="BUA34" s="515"/>
      <c r="BUB34" s="515"/>
      <c r="BUC34" s="515"/>
      <c r="BUD34" s="515"/>
      <c r="BUE34" s="515"/>
      <c r="BUF34" s="515"/>
      <c r="BUG34" s="514"/>
      <c r="BUH34" s="515"/>
      <c r="BUI34" s="515"/>
      <c r="BUJ34" s="515"/>
      <c r="BUK34" s="515"/>
      <c r="BUL34" s="515"/>
      <c r="BUM34" s="515"/>
      <c r="BUN34" s="515"/>
      <c r="BUO34" s="514"/>
      <c r="BUP34" s="515"/>
      <c r="BUQ34" s="515"/>
      <c r="BUR34" s="515"/>
      <c r="BUS34" s="515"/>
      <c r="BUT34" s="515"/>
      <c r="BUU34" s="515"/>
      <c r="BUV34" s="515"/>
      <c r="BUW34" s="514"/>
      <c r="BUX34" s="515"/>
      <c r="BUY34" s="515"/>
      <c r="BUZ34" s="515"/>
      <c r="BVA34" s="515"/>
      <c r="BVB34" s="515"/>
      <c r="BVC34" s="515"/>
      <c r="BVD34" s="515"/>
      <c r="BVE34" s="514"/>
      <c r="BVF34" s="515"/>
      <c r="BVG34" s="515"/>
      <c r="BVH34" s="515"/>
      <c r="BVI34" s="515"/>
      <c r="BVJ34" s="515"/>
      <c r="BVK34" s="515"/>
      <c r="BVL34" s="515"/>
      <c r="BVM34" s="514"/>
      <c r="BVN34" s="515"/>
      <c r="BVO34" s="515"/>
      <c r="BVP34" s="515"/>
      <c r="BVQ34" s="515"/>
      <c r="BVR34" s="515"/>
      <c r="BVS34" s="515"/>
      <c r="BVT34" s="515"/>
      <c r="BVU34" s="514"/>
      <c r="BVV34" s="515"/>
      <c r="BVW34" s="515"/>
      <c r="BVX34" s="515"/>
      <c r="BVY34" s="515"/>
      <c r="BVZ34" s="515"/>
      <c r="BWA34" s="515"/>
      <c r="BWB34" s="515"/>
      <c r="BWC34" s="514"/>
      <c r="BWD34" s="515"/>
      <c r="BWE34" s="515"/>
      <c r="BWF34" s="515"/>
      <c r="BWG34" s="515"/>
      <c r="BWH34" s="515"/>
      <c r="BWI34" s="515"/>
      <c r="BWJ34" s="515"/>
      <c r="BWK34" s="514"/>
      <c r="BWL34" s="515"/>
      <c r="BWM34" s="515"/>
      <c r="BWN34" s="515"/>
      <c r="BWO34" s="515"/>
      <c r="BWP34" s="515"/>
      <c r="BWQ34" s="515"/>
      <c r="BWR34" s="515"/>
      <c r="BWS34" s="514"/>
      <c r="BWT34" s="515"/>
      <c r="BWU34" s="515"/>
      <c r="BWV34" s="515"/>
      <c r="BWW34" s="515"/>
      <c r="BWX34" s="515"/>
      <c r="BWY34" s="515"/>
      <c r="BWZ34" s="515"/>
      <c r="BXA34" s="514"/>
      <c r="BXB34" s="515"/>
      <c r="BXC34" s="515"/>
      <c r="BXD34" s="515"/>
      <c r="BXE34" s="515"/>
      <c r="BXF34" s="515"/>
      <c r="BXG34" s="515"/>
      <c r="BXH34" s="515"/>
      <c r="BXI34" s="514"/>
      <c r="BXJ34" s="515"/>
      <c r="BXK34" s="515"/>
      <c r="BXL34" s="515"/>
      <c r="BXM34" s="515"/>
      <c r="BXN34" s="515"/>
      <c r="BXO34" s="515"/>
      <c r="BXP34" s="515"/>
      <c r="BXQ34" s="514"/>
      <c r="BXR34" s="515"/>
      <c r="BXS34" s="515"/>
      <c r="BXT34" s="515"/>
      <c r="BXU34" s="515"/>
      <c r="BXV34" s="515"/>
      <c r="BXW34" s="515"/>
      <c r="BXX34" s="515"/>
      <c r="BXY34" s="514"/>
      <c r="BXZ34" s="515"/>
      <c r="BYA34" s="515"/>
      <c r="BYB34" s="515"/>
      <c r="BYC34" s="515"/>
      <c r="BYD34" s="515"/>
      <c r="BYE34" s="515"/>
      <c r="BYF34" s="515"/>
      <c r="BYG34" s="514"/>
      <c r="BYH34" s="515"/>
      <c r="BYI34" s="515"/>
      <c r="BYJ34" s="515"/>
      <c r="BYK34" s="515"/>
      <c r="BYL34" s="515"/>
      <c r="BYM34" s="515"/>
      <c r="BYN34" s="515"/>
      <c r="BYO34" s="514"/>
      <c r="BYP34" s="515"/>
      <c r="BYQ34" s="515"/>
      <c r="BYR34" s="515"/>
      <c r="BYS34" s="515"/>
      <c r="BYT34" s="515"/>
      <c r="BYU34" s="515"/>
      <c r="BYV34" s="515"/>
      <c r="BYW34" s="514"/>
      <c r="BYX34" s="515"/>
      <c r="BYY34" s="515"/>
      <c r="BYZ34" s="515"/>
      <c r="BZA34" s="515"/>
      <c r="BZB34" s="515"/>
      <c r="BZC34" s="515"/>
      <c r="BZD34" s="515"/>
      <c r="BZE34" s="514"/>
      <c r="BZF34" s="515"/>
      <c r="BZG34" s="515"/>
      <c r="BZH34" s="515"/>
      <c r="BZI34" s="515"/>
      <c r="BZJ34" s="515"/>
      <c r="BZK34" s="515"/>
      <c r="BZL34" s="515"/>
      <c r="BZM34" s="514"/>
      <c r="BZN34" s="515"/>
      <c r="BZO34" s="515"/>
      <c r="BZP34" s="515"/>
      <c r="BZQ34" s="515"/>
      <c r="BZR34" s="515"/>
      <c r="BZS34" s="515"/>
      <c r="BZT34" s="515"/>
      <c r="BZU34" s="514"/>
      <c r="BZV34" s="515"/>
      <c r="BZW34" s="515"/>
      <c r="BZX34" s="515"/>
      <c r="BZY34" s="515"/>
      <c r="BZZ34" s="515"/>
      <c r="CAA34" s="515"/>
      <c r="CAB34" s="515"/>
      <c r="CAC34" s="514"/>
      <c r="CAD34" s="515"/>
      <c r="CAE34" s="515"/>
      <c r="CAF34" s="515"/>
      <c r="CAG34" s="515"/>
      <c r="CAH34" s="515"/>
      <c r="CAI34" s="515"/>
      <c r="CAJ34" s="515"/>
      <c r="CAK34" s="514"/>
      <c r="CAL34" s="515"/>
      <c r="CAM34" s="515"/>
      <c r="CAN34" s="515"/>
      <c r="CAO34" s="515"/>
      <c r="CAP34" s="515"/>
      <c r="CAQ34" s="515"/>
      <c r="CAR34" s="515"/>
      <c r="CAS34" s="514"/>
      <c r="CAT34" s="515"/>
      <c r="CAU34" s="515"/>
      <c r="CAV34" s="515"/>
      <c r="CAW34" s="515"/>
      <c r="CAX34" s="515"/>
      <c r="CAY34" s="515"/>
      <c r="CAZ34" s="515"/>
      <c r="CBA34" s="514"/>
      <c r="CBB34" s="515"/>
      <c r="CBC34" s="515"/>
      <c r="CBD34" s="515"/>
      <c r="CBE34" s="515"/>
      <c r="CBF34" s="515"/>
      <c r="CBG34" s="515"/>
      <c r="CBH34" s="515"/>
      <c r="CBI34" s="514"/>
      <c r="CBJ34" s="515"/>
      <c r="CBK34" s="515"/>
      <c r="CBL34" s="515"/>
      <c r="CBM34" s="515"/>
      <c r="CBN34" s="515"/>
      <c r="CBO34" s="515"/>
      <c r="CBP34" s="515"/>
      <c r="CBQ34" s="514"/>
      <c r="CBR34" s="515"/>
      <c r="CBS34" s="515"/>
      <c r="CBT34" s="515"/>
      <c r="CBU34" s="515"/>
      <c r="CBV34" s="515"/>
      <c r="CBW34" s="515"/>
      <c r="CBX34" s="515"/>
      <c r="CBY34" s="514"/>
      <c r="CBZ34" s="515"/>
      <c r="CCA34" s="515"/>
      <c r="CCB34" s="515"/>
      <c r="CCC34" s="515"/>
      <c r="CCD34" s="515"/>
      <c r="CCE34" s="515"/>
      <c r="CCF34" s="515"/>
      <c r="CCG34" s="514"/>
      <c r="CCH34" s="515"/>
      <c r="CCI34" s="515"/>
      <c r="CCJ34" s="515"/>
      <c r="CCK34" s="515"/>
      <c r="CCL34" s="515"/>
      <c r="CCM34" s="515"/>
      <c r="CCN34" s="515"/>
      <c r="CCO34" s="514"/>
      <c r="CCP34" s="515"/>
      <c r="CCQ34" s="515"/>
      <c r="CCR34" s="515"/>
      <c r="CCS34" s="515"/>
      <c r="CCT34" s="515"/>
      <c r="CCU34" s="515"/>
      <c r="CCV34" s="515"/>
      <c r="CCW34" s="514"/>
      <c r="CCX34" s="515"/>
      <c r="CCY34" s="515"/>
      <c r="CCZ34" s="515"/>
      <c r="CDA34" s="515"/>
      <c r="CDB34" s="515"/>
      <c r="CDC34" s="515"/>
      <c r="CDD34" s="515"/>
      <c r="CDE34" s="514"/>
      <c r="CDF34" s="515"/>
      <c r="CDG34" s="515"/>
      <c r="CDH34" s="515"/>
      <c r="CDI34" s="515"/>
      <c r="CDJ34" s="515"/>
      <c r="CDK34" s="515"/>
      <c r="CDL34" s="515"/>
      <c r="CDM34" s="514"/>
      <c r="CDN34" s="515"/>
      <c r="CDO34" s="515"/>
      <c r="CDP34" s="515"/>
      <c r="CDQ34" s="515"/>
      <c r="CDR34" s="515"/>
      <c r="CDS34" s="515"/>
      <c r="CDT34" s="515"/>
      <c r="CDU34" s="514"/>
      <c r="CDV34" s="515"/>
      <c r="CDW34" s="515"/>
      <c r="CDX34" s="515"/>
      <c r="CDY34" s="515"/>
      <c r="CDZ34" s="515"/>
      <c r="CEA34" s="515"/>
      <c r="CEB34" s="515"/>
      <c r="CEC34" s="514"/>
      <c r="CED34" s="515"/>
      <c r="CEE34" s="515"/>
      <c r="CEF34" s="515"/>
      <c r="CEG34" s="515"/>
      <c r="CEH34" s="515"/>
      <c r="CEI34" s="515"/>
      <c r="CEJ34" s="515"/>
      <c r="CEK34" s="514"/>
      <c r="CEL34" s="515"/>
      <c r="CEM34" s="515"/>
      <c r="CEN34" s="515"/>
      <c r="CEO34" s="515"/>
      <c r="CEP34" s="515"/>
      <c r="CEQ34" s="515"/>
      <c r="CER34" s="515"/>
      <c r="CES34" s="514"/>
      <c r="CET34" s="515"/>
      <c r="CEU34" s="515"/>
      <c r="CEV34" s="515"/>
      <c r="CEW34" s="515"/>
      <c r="CEX34" s="515"/>
      <c r="CEY34" s="515"/>
      <c r="CEZ34" s="515"/>
      <c r="CFA34" s="514"/>
      <c r="CFB34" s="515"/>
      <c r="CFC34" s="515"/>
      <c r="CFD34" s="515"/>
      <c r="CFE34" s="515"/>
      <c r="CFF34" s="515"/>
      <c r="CFG34" s="515"/>
      <c r="CFH34" s="515"/>
      <c r="CFI34" s="514"/>
      <c r="CFJ34" s="515"/>
      <c r="CFK34" s="515"/>
      <c r="CFL34" s="515"/>
      <c r="CFM34" s="515"/>
      <c r="CFN34" s="515"/>
      <c r="CFO34" s="515"/>
      <c r="CFP34" s="515"/>
      <c r="CFQ34" s="514"/>
      <c r="CFR34" s="515"/>
      <c r="CFS34" s="515"/>
      <c r="CFT34" s="515"/>
      <c r="CFU34" s="515"/>
      <c r="CFV34" s="515"/>
      <c r="CFW34" s="515"/>
      <c r="CFX34" s="515"/>
      <c r="CFY34" s="514"/>
      <c r="CFZ34" s="515"/>
      <c r="CGA34" s="515"/>
      <c r="CGB34" s="515"/>
      <c r="CGC34" s="515"/>
      <c r="CGD34" s="515"/>
      <c r="CGE34" s="515"/>
      <c r="CGF34" s="515"/>
      <c r="CGG34" s="514"/>
      <c r="CGH34" s="515"/>
      <c r="CGI34" s="515"/>
      <c r="CGJ34" s="515"/>
      <c r="CGK34" s="515"/>
      <c r="CGL34" s="515"/>
      <c r="CGM34" s="515"/>
      <c r="CGN34" s="515"/>
      <c r="CGO34" s="514"/>
      <c r="CGP34" s="515"/>
      <c r="CGQ34" s="515"/>
      <c r="CGR34" s="515"/>
      <c r="CGS34" s="515"/>
      <c r="CGT34" s="515"/>
      <c r="CGU34" s="515"/>
      <c r="CGV34" s="515"/>
      <c r="CGW34" s="514"/>
      <c r="CGX34" s="515"/>
      <c r="CGY34" s="515"/>
      <c r="CGZ34" s="515"/>
      <c r="CHA34" s="515"/>
      <c r="CHB34" s="515"/>
      <c r="CHC34" s="515"/>
      <c r="CHD34" s="515"/>
      <c r="CHE34" s="514"/>
      <c r="CHF34" s="515"/>
      <c r="CHG34" s="515"/>
      <c r="CHH34" s="515"/>
      <c r="CHI34" s="515"/>
      <c r="CHJ34" s="515"/>
      <c r="CHK34" s="515"/>
      <c r="CHL34" s="515"/>
      <c r="CHM34" s="514"/>
      <c r="CHN34" s="515"/>
      <c r="CHO34" s="515"/>
      <c r="CHP34" s="515"/>
      <c r="CHQ34" s="515"/>
      <c r="CHR34" s="515"/>
      <c r="CHS34" s="515"/>
      <c r="CHT34" s="515"/>
      <c r="CHU34" s="514"/>
      <c r="CHV34" s="515"/>
      <c r="CHW34" s="515"/>
      <c r="CHX34" s="515"/>
      <c r="CHY34" s="515"/>
      <c r="CHZ34" s="515"/>
      <c r="CIA34" s="515"/>
      <c r="CIB34" s="515"/>
      <c r="CIC34" s="514"/>
      <c r="CID34" s="515"/>
      <c r="CIE34" s="515"/>
      <c r="CIF34" s="515"/>
      <c r="CIG34" s="515"/>
      <c r="CIH34" s="515"/>
      <c r="CII34" s="515"/>
      <c r="CIJ34" s="515"/>
      <c r="CIK34" s="514"/>
      <c r="CIL34" s="515"/>
      <c r="CIM34" s="515"/>
      <c r="CIN34" s="515"/>
      <c r="CIO34" s="515"/>
      <c r="CIP34" s="515"/>
      <c r="CIQ34" s="515"/>
      <c r="CIR34" s="515"/>
      <c r="CIS34" s="514"/>
      <c r="CIT34" s="515"/>
      <c r="CIU34" s="515"/>
      <c r="CIV34" s="515"/>
      <c r="CIW34" s="515"/>
      <c r="CIX34" s="515"/>
      <c r="CIY34" s="515"/>
      <c r="CIZ34" s="515"/>
      <c r="CJA34" s="514"/>
      <c r="CJB34" s="515"/>
      <c r="CJC34" s="515"/>
      <c r="CJD34" s="515"/>
      <c r="CJE34" s="515"/>
      <c r="CJF34" s="515"/>
      <c r="CJG34" s="515"/>
      <c r="CJH34" s="515"/>
      <c r="CJI34" s="514"/>
      <c r="CJJ34" s="515"/>
      <c r="CJK34" s="515"/>
      <c r="CJL34" s="515"/>
      <c r="CJM34" s="515"/>
      <c r="CJN34" s="515"/>
      <c r="CJO34" s="515"/>
      <c r="CJP34" s="515"/>
      <c r="CJQ34" s="514"/>
      <c r="CJR34" s="515"/>
      <c r="CJS34" s="515"/>
      <c r="CJT34" s="515"/>
      <c r="CJU34" s="515"/>
      <c r="CJV34" s="515"/>
      <c r="CJW34" s="515"/>
      <c r="CJX34" s="515"/>
      <c r="CJY34" s="514"/>
      <c r="CJZ34" s="515"/>
      <c r="CKA34" s="515"/>
      <c r="CKB34" s="515"/>
      <c r="CKC34" s="515"/>
      <c r="CKD34" s="515"/>
      <c r="CKE34" s="515"/>
      <c r="CKF34" s="515"/>
      <c r="CKG34" s="514"/>
      <c r="CKH34" s="515"/>
      <c r="CKI34" s="515"/>
      <c r="CKJ34" s="515"/>
      <c r="CKK34" s="515"/>
      <c r="CKL34" s="515"/>
      <c r="CKM34" s="515"/>
      <c r="CKN34" s="515"/>
      <c r="CKO34" s="514"/>
      <c r="CKP34" s="515"/>
      <c r="CKQ34" s="515"/>
      <c r="CKR34" s="515"/>
      <c r="CKS34" s="515"/>
      <c r="CKT34" s="515"/>
      <c r="CKU34" s="515"/>
      <c r="CKV34" s="515"/>
      <c r="CKW34" s="514"/>
      <c r="CKX34" s="515"/>
      <c r="CKY34" s="515"/>
      <c r="CKZ34" s="515"/>
      <c r="CLA34" s="515"/>
      <c r="CLB34" s="515"/>
      <c r="CLC34" s="515"/>
      <c r="CLD34" s="515"/>
      <c r="CLE34" s="514"/>
      <c r="CLF34" s="515"/>
      <c r="CLG34" s="515"/>
      <c r="CLH34" s="515"/>
      <c r="CLI34" s="515"/>
      <c r="CLJ34" s="515"/>
      <c r="CLK34" s="515"/>
      <c r="CLL34" s="515"/>
      <c r="CLM34" s="514"/>
      <c r="CLN34" s="515"/>
      <c r="CLO34" s="515"/>
      <c r="CLP34" s="515"/>
      <c r="CLQ34" s="515"/>
      <c r="CLR34" s="515"/>
      <c r="CLS34" s="515"/>
      <c r="CLT34" s="515"/>
      <c r="CLU34" s="514"/>
      <c r="CLV34" s="515"/>
      <c r="CLW34" s="515"/>
      <c r="CLX34" s="515"/>
      <c r="CLY34" s="515"/>
      <c r="CLZ34" s="515"/>
      <c r="CMA34" s="515"/>
      <c r="CMB34" s="515"/>
      <c r="CMC34" s="514"/>
      <c r="CMD34" s="515"/>
      <c r="CME34" s="515"/>
      <c r="CMF34" s="515"/>
      <c r="CMG34" s="515"/>
      <c r="CMH34" s="515"/>
      <c r="CMI34" s="515"/>
      <c r="CMJ34" s="515"/>
      <c r="CMK34" s="514"/>
      <c r="CML34" s="515"/>
      <c r="CMM34" s="515"/>
      <c r="CMN34" s="515"/>
      <c r="CMO34" s="515"/>
      <c r="CMP34" s="515"/>
      <c r="CMQ34" s="515"/>
      <c r="CMR34" s="515"/>
      <c r="CMS34" s="514"/>
      <c r="CMT34" s="515"/>
      <c r="CMU34" s="515"/>
      <c r="CMV34" s="515"/>
      <c r="CMW34" s="515"/>
      <c r="CMX34" s="515"/>
      <c r="CMY34" s="515"/>
      <c r="CMZ34" s="515"/>
      <c r="CNA34" s="514"/>
      <c r="CNB34" s="515"/>
      <c r="CNC34" s="515"/>
      <c r="CND34" s="515"/>
      <c r="CNE34" s="515"/>
      <c r="CNF34" s="515"/>
      <c r="CNG34" s="515"/>
      <c r="CNH34" s="515"/>
      <c r="CNI34" s="514"/>
      <c r="CNJ34" s="515"/>
      <c r="CNK34" s="515"/>
      <c r="CNL34" s="515"/>
      <c r="CNM34" s="515"/>
      <c r="CNN34" s="515"/>
      <c r="CNO34" s="515"/>
      <c r="CNP34" s="515"/>
      <c r="CNQ34" s="514"/>
      <c r="CNR34" s="515"/>
      <c r="CNS34" s="515"/>
      <c r="CNT34" s="515"/>
      <c r="CNU34" s="515"/>
      <c r="CNV34" s="515"/>
      <c r="CNW34" s="515"/>
      <c r="CNX34" s="515"/>
      <c r="CNY34" s="514"/>
      <c r="CNZ34" s="515"/>
      <c r="COA34" s="515"/>
      <c r="COB34" s="515"/>
      <c r="COC34" s="515"/>
      <c r="COD34" s="515"/>
      <c r="COE34" s="515"/>
      <c r="COF34" s="515"/>
      <c r="COG34" s="514"/>
      <c r="COH34" s="515"/>
      <c r="COI34" s="515"/>
      <c r="COJ34" s="515"/>
      <c r="COK34" s="515"/>
      <c r="COL34" s="515"/>
      <c r="COM34" s="515"/>
      <c r="CON34" s="515"/>
      <c r="COO34" s="514"/>
      <c r="COP34" s="515"/>
      <c r="COQ34" s="515"/>
      <c r="COR34" s="515"/>
      <c r="COS34" s="515"/>
      <c r="COT34" s="515"/>
      <c r="COU34" s="515"/>
      <c r="COV34" s="515"/>
      <c r="COW34" s="514"/>
      <c r="COX34" s="515"/>
      <c r="COY34" s="515"/>
      <c r="COZ34" s="515"/>
      <c r="CPA34" s="515"/>
      <c r="CPB34" s="515"/>
      <c r="CPC34" s="515"/>
      <c r="CPD34" s="515"/>
      <c r="CPE34" s="514"/>
      <c r="CPF34" s="515"/>
      <c r="CPG34" s="515"/>
      <c r="CPH34" s="515"/>
      <c r="CPI34" s="515"/>
      <c r="CPJ34" s="515"/>
      <c r="CPK34" s="515"/>
      <c r="CPL34" s="515"/>
      <c r="CPM34" s="514"/>
      <c r="CPN34" s="515"/>
      <c r="CPO34" s="515"/>
      <c r="CPP34" s="515"/>
      <c r="CPQ34" s="515"/>
      <c r="CPR34" s="515"/>
      <c r="CPS34" s="515"/>
      <c r="CPT34" s="515"/>
      <c r="CPU34" s="514"/>
      <c r="CPV34" s="515"/>
      <c r="CPW34" s="515"/>
      <c r="CPX34" s="515"/>
      <c r="CPY34" s="515"/>
      <c r="CPZ34" s="515"/>
      <c r="CQA34" s="515"/>
      <c r="CQB34" s="515"/>
      <c r="CQC34" s="514"/>
      <c r="CQD34" s="515"/>
      <c r="CQE34" s="515"/>
      <c r="CQF34" s="515"/>
      <c r="CQG34" s="515"/>
      <c r="CQH34" s="515"/>
      <c r="CQI34" s="515"/>
      <c r="CQJ34" s="515"/>
      <c r="CQK34" s="514"/>
      <c r="CQL34" s="515"/>
      <c r="CQM34" s="515"/>
      <c r="CQN34" s="515"/>
      <c r="CQO34" s="515"/>
      <c r="CQP34" s="515"/>
      <c r="CQQ34" s="515"/>
      <c r="CQR34" s="515"/>
      <c r="CQS34" s="514"/>
      <c r="CQT34" s="515"/>
      <c r="CQU34" s="515"/>
      <c r="CQV34" s="515"/>
      <c r="CQW34" s="515"/>
      <c r="CQX34" s="515"/>
      <c r="CQY34" s="515"/>
      <c r="CQZ34" s="515"/>
      <c r="CRA34" s="514"/>
      <c r="CRB34" s="515"/>
      <c r="CRC34" s="515"/>
      <c r="CRD34" s="515"/>
      <c r="CRE34" s="515"/>
      <c r="CRF34" s="515"/>
      <c r="CRG34" s="515"/>
      <c r="CRH34" s="515"/>
      <c r="CRI34" s="514"/>
      <c r="CRJ34" s="515"/>
      <c r="CRK34" s="515"/>
      <c r="CRL34" s="515"/>
      <c r="CRM34" s="515"/>
      <c r="CRN34" s="515"/>
      <c r="CRO34" s="515"/>
      <c r="CRP34" s="515"/>
      <c r="CRQ34" s="514"/>
      <c r="CRR34" s="515"/>
      <c r="CRS34" s="515"/>
      <c r="CRT34" s="515"/>
      <c r="CRU34" s="515"/>
      <c r="CRV34" s="515"/>
      <c r="CRW34" s="515"/>
      <c r="CRX34" s="515"/>
      <c r="CRY34" s="514"/>
      <c r="CRZ34" s="515"/>
      <c r="CSA34" s="515"/>
      <c r="CSB34" s="515"/>
      <c r="CSC34" s="515"/>
      <c r="CSD34" s="515"/>
      <c r="CSE34" s="515"/>
      <c r="CSF34" s="515"/>
      <c r="CSG34" s="514"/>
      <c r="CSH34" s="515"/>
      <c r="CSI34" s="515"/>
      <c r="CSJ34" s="515"/>
      <c r="CSK34" s="515"/>
      <c r="CSL34" s="515"/>
      <c r="CSM34" s="515"/>
      <c r="CSN34" s="515"/>
      <c r="CSO34" s="514"/>
      <c r="CSP34" s="515"/>
      <c r="CSQ34" s="515"/>
      <c r="CSR34" s="515"/>
      <c r="CSS34" s="515"/>
      <c r="CST34" s="515"/>
      <c r="CSU34" s="515"/>
      <c r="CSV34" s="515"/>
      <c r="CSW34" s="514"/>
      <c r="CSX34" s="515"/>
      <c r="CSY34" s="515"/>
      <c r="CSZ34" s="515"/>
      <c r="CTA34" s="515"/>
      <c r="CTB34" s="515"/>
      <c r="CTC34" s="515"/>
      <c r="CTD34" s="515"/>
      <c r="CTE34" s="514"/>
      <c r="CTF34" s="515"/>
      <c r="CTG34" s="515"/>
      <c r="CTH34" s="515"/>
      <c r="CTI34" s="515"/>
      <c r="CTJ34" s="515"/>
      <c r="CTK34" s="515"/>
      <c r="CTL34" s="515"/>
      <c r="CTM34" s="514"/>
      <c r="CTN34" s="515"/>
      <c r="CTO34" s="515"/>
      <c r="CTP34" s="515"/>
      <c r="CTQ34" s="515"/>
      <c r="CTR34" s="515"/>
      <c r="CTS34" s="515"/>
      <c r="CTT34" s="515"/>
      <c r="CTU34" s="514"/>
      <c r="CTV34" s="515"/>
      <c r="CTW34" s="515"/>
      <c r="CTX34" s="515"/>
      <c r="CTY34" s="515"/>
      <c r="CTZ34" s="515"/>
      <c r="CUA34" s="515"/>
      <c r="CUB34" s="515"/>
      <c r="CUC34" s="514"/>
      <c r="CUD34" s="515"/>
      <c r="CUE34" s="515"/>
      <c r="CUF34" s="515"/>
      <c r="CUG34" s="515"/>
      <c r="CUH34" s="515"/>
      <c r="CUI34" s="515"/>
      <c r="CUJ34" s="515"/>
      <c r="CUK34" s="514"/>
      <c r="CUL34" s="515"/>
      <c r="CUM34" s="515"/>
      <c r="CUN34" s="515"/>
      <c r="CUO34" s="515"/>
      <c r="CUP34" s="515"/>
      <c r="CUQ34" s="515"/>
      <c r="CUR34" s="515"/>
      <c r="CUS34" s="514"/>
      <c r="CUT34" s="515"/>
      <c r="CUU34" s="515"/>
      <c r="CUV34" s="515"/>
      <c r="CUW34" s="515"/>
      <c r="CUX34" s="515"/>
      <c r="CUY34" s="515"/>
      <c r="CUZ34" s="515"/>
      <c r="CVA34" s="514"/>
      <c r="CVB34" s="515"/>
      <c r="CVC34" s="515"/>
      <c r="CVD34" s="515"/>
      <c r="CVE34" s="515"/>
      <c r="CVF34" s="515"/>
      <c r="CVG34" s="515"/>
      <c r="CVH34" s="515"/>
      <c r="CVI34" s="514"/>
      <c r="CVJ34" s="515"/>
      <c r="CVK34" s="515"/>
      <c r="CVL34" s="515"/>
      <c r="CVM34" s="515"/>
      <c r="CVN34" s="515"/>
      <c r="CVO34" s="515"/>
      <c r="CVP34" s="515"/>
      <c r="CVQ34" s="514"/>
      <c r="CVR34" s="515"/>
      <c r="CVS34" s="515"/>
      <c r="CVT34" s="515"/>
      <c r="CVU34" s="515"/>
      <c r="CVV34" s="515"/>
      <c r="CVW34" s="515"/>
      <c r="CVX34" s="515"/>
      <c r="CVY34" s="514"/>
      <c r="CVZ34" s="515"/>
      <c r="CWA34" s="515"/>
      <c r="CWB34" s="515"/>
      <c r="CWC34" s="515"/>
      <c r="CWD34" s="515"/>
      <c r="CWE34" s="515"/>
      <c r="CWF34" s="515"/>
      <c r="CWG34" s="514"/>
      <c r="CWH34" s="515"/>
      <c r="CWI34" s="515"/>
      <c r="CWJ34" s="515"/>
      <c r="CWK34" s="515"/>
      <c r="CWL34" s="515"/>
      <c r="CWM34" s="515"/>
      <c r="CWN34" s="515"/>
      <c r="CWO34" s="514"/>
      <c r="CWP34" s="515"/>
      <c r="CWQ34" s="515"/>
      <c r="CWR34" s="515"/>
      <c r="CWS34" s="515"/>
      <c r="CWT34" s="515"/>
      <c r="CWU34" s="515"/>
      <c r="CWV34" s="515"/>
      <c r="CWW34" s="514"/>
      <c r="CWX34" s="515"/>
      <c r="CWY34" s="515"/>
      <c r="CWZ34" s="515"/>
      <c r="CXA34" s="515"/>
      <c r="CXB34" s="515"/>
      <c r="CXC34" s="515"/>
      <c r="CXD34" s="515"/>
      <c r="CXE34" s="514"/>
      <c r="CXF34" s="515"/>
      <c r="CXG34" s="515"/>
      <c r="CXH34" s="515"/>
      <c r="CXI34" s="515"/>
      <c r="CXJ34" s="515"/>
      <c r="CXK34" s="515"/>
      <c r="CXL34" s="515"/>
      <c r="CXM34" s="514"/>
      <c r="CXN34" s="515"/>
      <c r="CXO34" s="515"/>
      <c r="CXP34" s="515"/>
      <c r="CXQ34" s="515"/>
      <c r="CXR34" s="515"/>
      <c r="CXS34" s="515"/>
      <c r="CXT34" s="515"/>
      <c r="CXU34" s="514"/>
      <c r="CXV34" s="515"/>
      <c r="CXW34" s="515"/>
      <c r="CXX34" s="515"/>
      <c r="CXY34" s="515"/>
      <c r="CXZ34" s="515"/>
      <c r="CYA34" s="515"/>
      <c r="CYB34" s="515"/>
      <c r="CYC34" s="514"/>
      <c r="CYD34" s="515"/>
      <c r="CYE34" s="515"/>
      <c r="CYF34" s="515"/>
      <c r="CYG34" s="515"/>
      <c r="CYH34" s="515"/>
      <c r="CYI34" s="515"/>
      <c r="CYJ34" s="515"/>
      <c r="CYK34" s="514"/>
      <c r="CYL34" s="515"/>
      <c r="CYM34" s="515"/>
      <c r="CYN34" s="515"/>
      <c r="CYO34" s="515"/>
      <c r="CYP34" s="515"/>
      <c r="CYQ34" s="515"/>
      <c r="CYR34" s="515"/>
      <c r="CYS34" s="514"/>
      <c r="CYT34" s="515"/>
      <c r="CYU34" s="515"/>
      <c r="CYV34" s="515"/>
      <c r="CYW34" s="515"/>
      <c r="CYX34" s="515"/>
      <c r="CYY34" s="515"/>
      <c r="CYZ34" s="515"/>
      <c r="CZA34" s="514"/>
      <c r="CZB34" s="515"/>
      <c r="CZC34" s="515"/>
      <c r="CZD34" s="515"/>
      <c r="CZE34" s="515"/>
      <c r="CZF34" s="515"/>
      <c r="CZG34" s="515"/>
      <c r="CZH34" s="515"/>
      <c r="CZI34" s="514"/>
      <c r="CZJ34" s="515"/>
      <c r="CZK34" s="515"/>
      <c r="CZL34" s="515"/>
      <c r="CZM34" s="515"/>
      <c r="CZN34" s="515"/>
      <c r="CZO34" s="515"/>
      <c r="CZP34" s="515"/>
      <c r="CZQ34" s="514"/>
      <c r="CZR34" s="515"/>
      <c r="CZS34" s="515"/>
      <c r="CZT34" s="515"/>
      <c r="CZU34" s="515"/>
      <c r="CZV34" s="515"/>
      <c r="CZW34" s="515"/>
      <c r="CZX34" s="515"/>
      <c r="CZY34" s="514"/>
      <c r="CZZ34" s="515"/>
      <c r="DAA34" s="515"/>
      <c r="DAB34" s="515"/>
      <c r="DAC34" s="515"/>
      <c r="DAD34" s="515"/>
      <c r="DAE34" s="515"/>
      <c r="DAF34" s="515"/>
      <c r="DAG34" s="514"/>
      <c r="DAH34" s="515"/>
      <c r="DAI34" s="515"/>
      <c r="DAJ34" s="515"/>
      <c r="DAK34" s="515"/>
      <c r="DAL34" s="515"/>
      <c r="DAM34" s="515"/>
      <c r="DAN34" s="515"/>
      <c r="DAO34" s="514"/>
      <c r="DAP34" s="515"/>
      <c r="DAQ34" s="515"/>
      <c r="DAR34" s="515"/>
      <c r="DAS34" s="515"/>
      <c r="DAT34" s="515"/>
      <c r="DAU34" s="515"/>
      <c r="DAV34" s="515"/>
      <c r="DAW34" s="514"/>
      <c r="DAX34" s="515"/>
      <c r="DAY34" s="515"/>
      <c r="DAZ34" s="515"/>
      <c r="DBA34" s="515"/>
      <c r="DBB34" s="515"/>
      <c r="DBC34" s="515"/>
      <c r="DBD34" s="515"/>
      <c r="DBE34" s="514"/>
      <c r="DBF34" s="515"/>
      <c r="DBG34" s="515"/>
      <c r="DBH34" s="515"/>
      <c r="DBI34" s="515"/>
      <c r="DBJ34" s="515"/>
      <c r="DBK34" s="515"/>
      <c r="DBL34" s="515"/>
      <c r="DBM34" s="514"/>
      <c r="DBN34" s="515"/>
      <c r="DBO34" s="515"/>
      <c r="DBP34" s="515"/>
      <c r="DBQ34" s="515"/>
      <c r="DBR34" s="515"/>
      <c r="DBS34" s="515"/>
      <c r="DBT34" s="515"/>
      <c r="DBU34" s="514"/>
      <c r="DBV34" s="515"/>
      <c r="DBW34" s="515"/>
      <c r="DBX34" s="515"/>
      <c r="DBY34" s="515"/>
      <c r="DBZ34" s="515"/>
      <c r="DCA34" s="515"/>
      <c r="DCB34" s="515"/>
      <c r="DCC34" s="514"/>
      <c r="DCD34" s="515"/>
      <c r="DCE34" s="515"/>
      <c r="DCF34" s="515"/>
      <c r="DCG34" s="515"/>
      <c r="DCH34" s="515"/>
      <c r="DCI34" s="515"/>
      <c r="DCJ34" s="515"/>
      <c r="DCK34" s="514"/>
      <c r="DCL34" s="515"/>
      <c r="DCM34" s="515"/>
      <c r="DCN34" s="515"/>
      <c r="DCO34" s="515"/>
      <c r="DCP34" s="515"/>
      <c r="DCQ34" s="515"/>
      <c r="DCR34" s="515"/>
      <c r="DCS34" s="514"/>
      <c r="DCT34" s="515"/>
      <c r="DCU34" s="515"/>
      <c r="DCV34" s="515"/>
      <c r="DCW34" s="515"/>
      <c r="DCX34" s="515"/>
      <c r="DCY34" s="515"/>
      <c r="DCZ34" s="515"/>
      <c r="DDA34" s="514"/>
      <c r="DDB34" s="515"/>
      <c r="DDC34" s="515"/>
      <c r="DDD34" s="515"/>
      <c r="DDE34" s="515"/>
      <c r="DDF34" s="515"/>
      <c r="DDG34" s="515"/>
      <c r="DDH34" s="515"/>
      <c r="DDI34" s="514"/>
      <c r="DDJ34" s="515"/>
      <c r="DDK34" s="515"/>
      <c r="DDL34" s="515"/>
      <c r="DDM34" s="515"/>
      <c r="DDN34" s="515"/>
      <c r="DDO34" s="515"/>
      <c r="DDP34" s="515"/>
      <c r="DDQ34" s="514"/>
      <c r="DDR34" s="515"/>
      <c r="DDS34" s="515"/>
      <c r="DDT34" s="515"/>
      <c r="DDU34" s="515"/>
      <c r="DDV34" s="515"/>
      <c r="DDW34" s="515"/>
      <c r="DDX34" s="515"/>
      <c r="DDY34" s="514"/>
      <c r="DDZ34" s="515"/>
      <c r="DEA34" s="515"/>
      <c r="DEB34" s="515"/>
      <c r="DEC34" s="515"/>
      <c r="DED34" s="515"/>
      <c r="DEE34" s="515"/>
      <c r="DEF34" s="515"/>
      <c r="DEG34" s="514"/>
      <c r="DEH34" s="515"/>
      <c r="DEI34" s="515"/>
      <c r="DEJ34" s="515"/>
      <c r="DEK34" s="515"/>
      <c r="DEL34" s="515"/>
      <c r="DEM34" s="515"/>
      <c r="DEN34" s="515"/>
      <c r="DEO34" s="514"/>
      <c r="DEP34" s="515"/>
      <c r="DEQ34" s="515"/>
      <c r="DER34" s="515"/>
      <c r="DES34" s="515"/>
      <c r="DET34" s="515"/>
      <c r="DEU34" s="515"/>
      <c r="DEV34" s="515"/>
      <c r="DEW34" s="514"/>
      <c r="DEX34" s="515"/>
      <c r="DEY34" s="515"/>
      <c r="DEZ34" s="515"/>
      <c r="DFA34" s="515"/>
      <c r="DFB34" s="515"/>
      <c r="DFC34" s="515"/>
      <c r="DFD34" s="515"/>
      <c r="DFE34" s="514"/>
      <c r="DFF34" s="515"/>
      <c r="DFG34" s="515"/>
      <c r="DFH34" s="515"/>
      <c r="DFI34" s="515"/>
      <c r="DFJ34" s="515"/>
      <c r="DFK34" s="515"/>
      <c r="DFL34" s="515"/>
      <c r="DFM34" s="514"/>
      <c r="DFN34" s="515"/>
      <c r="DFO34" s="515"/>
      <c r="DFP34" s="515"/>
      <c r="DFQ34" s="515"/>
      <c r="DFR34" s="515"/>
      <c r="DFS34" s="515"/>
      <c r="DFT34" s="515"/>
      <c r="DFU34" s="514"/>
      <c r="DFV34" s="515"/>
      <c r="DFW34" s="515"/>
      <c r="DFX34" s="515"/>
      <c r="DFY34" s="515"/>
      <c r="DFZ34" s="515"/>
      <c r="DGA34" s="515"/>
      <c r="DGB34" s="515"/>
      <c r="DGC34" s="514"/>
      <c r="DGD34" s="515"/>
      <c r="DGE34" s="515"/>
      <c r="DGF34" s="515"/>
      <c r="DGG34" s="515"/>
      <c r="DGH34" s="515"/>
      <c r="DGI34" s="515"/>
      <c r="DGJ34" s="515"/>
      <c r="DGK34" s="514"/>
      <c r="DGL34" s="515"/>
      <c r="DGM34" s="515"/>
      <c r="DGN34" s="515"/>
      <c r="DGO34" s="515"/>
      <c r="DGP34" s="515"/>
      <c r="DGQ34" s="515"/>
      <c r="DGR34" s="515"/>
      <c r="DGS34" s="514"/>
      <c r="DGT34" s="515"/>
      <c r="DGU34" s="515"/>
      <c r="DGV34" s="515"/>
      <c r="DGW34" s="515"/>
      <c r="DGX34" s="515"/>
      <c r="DGY34" s="515"/>
      <c r="DGZ34" s="515"/>
      <c r="DHA34" s="514"/>
      <c r="DHB34" s="515"/>
      <c r="DHC34" s="515"/>
      <c r="DHD34" s="515"/>
      <c r="DHE34" s="515"/>
      <c r="DHF34" s="515"/>
      <c r="DHG34" s="515"/>
      <c r="DHH34" s="515"/>
      <c r="DHI34" s="514"/>
      <c r="DHJ34" s="515"/>
      <c r="DHK34" s="515"/>
      <c r="DHL34" s="515"/>
      <c r="DHM34" s="515"/>
      <c r="DHN34" s="515"/>
      <c r="DHO34" s="515"/>
      <c r="DHP34" s="515"/>
      <c r="DHQ34" s="514"/>
      <c r="DHR34" s="515"/>
      <c r="DHS34" s="515"/>
      <c r="DHT34" s="515"/>
      <c r="DHU34" s="515"/>
      <c r="DHV34" s="515"/>
      <c r="DHW34" s="515"/>
      <c r="DHX34" s="515"/>
      <c r="DHY34" s="514"/>
      <c r="DHZ34" s="515"/>
      <c r="DIA34" s="515"/>
      <c r="DIB34" s="515"/>
      <c r="DIC34" s="515"/>
      <c r="DID34" s="515"/>
      <c r="DIE34" s="515"/>
      <c r="DIF34" s="515"/>
      <c r="DIG34" s="514"/>
      <c r="DIH34" s="515"/>
      <c r="DII34" s="515"/>
      <c r="DIJ34" s="515"/>
      <c r="DIK34" s="515"/>
      <c r="DIL34" s="515"/>
      <c r="DIM34" s="515"/>
      <c r="DIN34" s="515"/>
      <c r="DIO34" s="514"/>
      <c r="DIP34" s="515"/>
      <c r="DIQ34" s="515"/>
      <c r="DIR34" s="515"/>
      <c r="DIS34" s="515"/>
      <c r="DIT34" s="515"/>
      <c r="DIU34" s="515"/>
      <c r="DIV34" s="515"/>
      <c r="DIW34" s="514"/>
      <c r="DIX34" s="515"/>
      <c r="DIY34" s="515"/>
      <c r="DIZ34" s="515"/>
      <c r="DJA34" s="515"/>
      <c r="DJB34" s="515"/>
      <c r="DJC34" s="515"/>
      <c r="DJD34" s="515"/>
      <c r="DJE34" s="514"/>
      <c r="DJF34" s="515"/>
      <c r="DJG34" s="515"/>
      <c r="DJH34" s="515"/>
      <c r="DJI34" s="515"/>
      <c r="DJJ34" s="515"/>
      <c r="DJK34" s="515"/>
      <c r="DJL34" s="515"/>
      <c r="DJM34" s="514"/>
      <c r="DJN34" s="515"/>
      <c r="DJO34" s="515"/>
      <c r="DJP34" s="515"/>
      <c r="DJQ34" s="515"/>
      <c r="DJR34" s="515"/>
      <c r="DJS34" s="515"/>
      <c r="DJT34" s="515"/>
      <c r="DJU34" s="514"/>
      <c r="DJV34" s="515"/>
      <c r="DJW34" s="515"/>
      <c r="DJX34" s="515"/>
      <c r="DJY34" s="515"/>
      <c r="DJZ34" s="515"/>
      <c r="DKA34" s="515"/>
      <c r="DKB34" s="515"/>
      <c r="DKC34" s="514"/>
      <c r="DKD34" s="515"/>
      <c r="DKE34" s="515"/>
      <c r="DKF34" s="515"/>
      <c r="DKG34" s="515"/>
      <c r="DKH34" s="515"/>
      <c r="DKI34" s="515"/>
      <c r="DKJ34" s="515"/>
      <c r="DKK34" s="514"/>
      <c r="DKL34" s="515"/>
      <c r="DKM34" s="515"/>
      <c r="DKN34" s="515"/>
      <c r="DKO34" s="515"/>
      <c r="DKP34" s="515"/>
      <c r="DKQ34" s="515"/>
      <c r="DKR34" s="515"/>
      <c r="DKS34" s="514"/>
      <c r="DKT34" s="515"/>
      <c r="DKU34" s="515"/>
      <c r="DKV34" s="515"/>
      <c r="DKW34" s="515"/>
      <c r="DKX34" s="515"/>
      <c r="DKY34" s="515"/>
      <c r="DKZ34" s="515"/>
      <c r="DLA34" s="514"/>
      <c r="DLB34" s="515"/>
      <c r="DLC34" s="515"/>
      <c r="DLD34" s="515"/>
      <c r="DLE34" s="515"/>
      <c r="DLF34" s="515"/>
      <c r="DLG34" s="515"/>
      <c r="DLH34" s="515"/>
      <c r="DLI34" s="514"/>
      <c r="DLJ34" s="515"/>
      <c r="DLK34" s="515"/>
      <c r="DLL34" s="515"/>
      <c r="DLM34" s="515"/>
      <c r="DLN34" s="515"/>
      <c r="DLO34" s="515"/>
      <c r="DLP34" s="515"/>
      <c r="DLQ34" s="514"/>
      <c r="DLR34" s="515"/>
      <c r="DLS34" s="515"/>
      <c r="DLT34" s="515"/>
      <c r="DLU34" s="515"/>
      <c r="DLV34" s="515"/>
      <c r="DLW34" s="515"/>
      <c r="DLX34" s="515"/>
      <c r="DLY34" s="514"/>
      <c r="DLZ34" s="515"/>
      <c r="DMA34" s="515"/>
      <c r="DMB34" s="515"/>
      <c r="DMC34" s="515"/>
      <c r="DMD34" s="515"/>
      <c r="DME34" s="515"/>
      <c r="DMF34" s="515"/>
      <c r="DMG34" s="514"/>
      <c r="DMH34" s="515"/>
      <c r="DMI34" s="515"/>
      <c r="DMJ34" s="515"/>
      <c r="DMK34" s="515"/>
      <c r="DML34" s="515"/>
      <c r="DMM34" s="515"/>
      <c r="DMN34" s="515"/>
      <c r="DMO34" s="514"/>
      <c r="DMP34" s="515"/>
      <c r="DMQ34" s="515"/>
      <c r="DMR34" s="515"/>
      <c r="DMS34" s="515"/>
      <c r="DMT34" s="515"/>
      <c r="DMU34" s="515"/>
      <c r="DMV34" s="515"/>
      <c r="DMW34" s="514"/>
      <c r="DMX34" s="515"/>
      <c r="DMY34" s="515"/>
      <c r="DMZ34" s="515"/>
      <c r="DNA34" s="515"/>
      <c r="DNB34" s="515"/>
      <c r="DNC34" s="515"/>
      <c r="DND34" s="515"/>
      <c r="DNE34" s="514"/>
      <c r="DNF34" s="515"/>
      <c r="DNG34" s="515"/>
      <c r="DNH34" s="515"/>
      <c r="DNI34" s="515"/>
      <c r="DNJ34" s="515"/>
      <c r="DNK34" s="515"/>
      <c r="DNL34" s="515"/>
      <c r="DNM34" s="514"/>
      <c r="DNN34" s="515"/>
      <c r="DNO34" s="515"/>
      <c r="DNP34" s="515"/>
      <c r="DNQ34" s="515"/>
      <c r="DNR34" s="515"/>
      <c r="DNS34" s="515"/>
      <c r="DNT34" s="515"/>
      <c r="DNU34" s="514"/>
      <c r="DNV34" s="515"/>
      <c r="DNW34" s="515"/>
      <c r="DNX34" s="515"/>
      <c r="DNY34" s="515"/>
      <c r="DNZ34" s="515"/>
      <c r="DOA34" s="515"/>
      <c r="DOB34" s="515"/>
      <c r="DOC34" s="514"/>
      <c r="DOD34" s="515"/>
      <c r="DOE34" s="515"/>
      <c r="DOF34" s="515"/>
      <c r="DOG34" s="515"/>
      <c r="DOH34" s="515"/>
      <c r="DOI34" s="515"/>
      <c r="DOJ34" s="515"/>
      <c r="DOK34" s="514"/>
      <c r="DOL34" s="515"/>
      <c r="DOM34" s="515"/>
      <c r="DON34" s="515"/>
      <c r="DOO34" s="515"/>
      <c r="DOP34" s="515"/>
      <c r="DOQ34" s="515"/>
      <c r="DOR34" s="515"/>
      <c r="DOS34" s="514"/>
      <c r="DOT34" s="515"/>
      <c r="DOU34" s="515"/>
      <c r="DOV34" s="515"/>
      <c r="DOW34" s="515"/>
      <c r="DOX34" s="515"/>
      <c r="DOY34" s="515"/>
      <c r="DOZ34" s="515"/>
      <c r="DPA34" s="514"/>
      <c r="DPB34" s="515"/>
      <c r="DPC34" s="515"/>
      <c r="DPD34" s="515"/>
      <c r="DPE34" s="515"/>
      <c r="DPF34" s="515"/>
      <c r="DPG34" s="515"/>
      <c r="DPH34" s="515"/>
      <c r="DPI34" s="514"/>
      <c r="DPJ34" s="515"/>
      <c r="DPK34" s="515"/>
      <c r="DPL34" s="515"/>
      <c r="DPM34" s="515"/>
      <c r="DPN34" s="515"/>
      <c r="DPO34" s="515"/>
      <c r="DPP34" s="515"/>
      <c r="DPQ34" s="514"/>
      <c r="DPR34" s="515"/>
      <c r="DPS34" s="515"/>
      <c r="DPT34" s="515"/>
      <c r="DPU34" s="515"/>
      <c r="DPV34" s="515"/>
      <c r="DPW34" s="515"/>
      <c r="DPX34" s="515"/>
      <c r="DPY34" s="514"/>
      <c r="DPZ34" s="515"/>
      <c r="DQA34" s="515"/>
      <c r="DQB34" s="515"/>
      <c r="DQC34" s="515"/>
      <c r="DQD34" s="515"/>
      <c r="DQE34" s="515"/>
      <c r="DQF34" s="515"/>
      <c r="DQG34" s="514"/>
      <c r="DQH34" s="515"/>
      <c r="DQI34" s="515"/>
      <c r="DQJ34" s="515"/>
      <c r="DQK34" s="515"/>
      <c r="DQL34" s="515"/>
      <c r="DQM34" s="515"/>
      <c r="DQN34" s="515"/>
      <c r="DQO34" s="514"/>
      <c r="DQP34" s="515"/>
      <c r="DQQ34" s="515"/>
      <c r="DQR34" s="515"/>
      <c r="DQS34" s="515"/>
      <c r="DQT34" s="515"/>
      <c r="DQU34" s="515"/>
      <c r="DQV34" s="515"/>
      <c r="DQW34" s="514"/>
      <c r="DQX34" s="515"/>
      <c r="DQY34" s="515"/>
      <c r="DQZ34" s="515"/>
      <c r="DRA34" s="515"/>
      <c r="DRB34" s="515"/>
      <c r="DRC34" s="515"/>
      <c r="DRD34" s="515"/>
      <c r="DRE34" s="514"/>
      <c r="DRF34" s="515"/>
      <c r="DRG34" s="515"/>
      <c r="DRH34" s="515"/>
      <c r="DRI34" s="515"/>
      <c r="DRJ34" s="515"/>
      <c r="DRK34" s="515"/>
      <c r="DRL34" s="515"/>
      <c r="DRM34" s="514"/>
      <c r="DRN34" s="515"/>
      <c r="DRO34" s="515"/>
      <c r="DRP34" s="515"/>
      <c r="DRQ34" s="515"/>
      <c r="DRR34" s="515"/>
      <c r="DRS34" s="515"/>
      <c r="DRT34" s="515"/>
      <c r="DRU34" s="514"/>
      <c r="DRV34" s="515"/>
      <c r="DRW34" s="515"/>
      <c r="DRX34" s="515"/>
      <c r="DRY34" s="515"/>
      <c r="DRZ34" s="515"/>
      <c r="DSA34" s="515"/>
      <c r="DSB34" s="515"/>
      <c r="DSC34" s="514"/>
      <c r="DSD34" s="515"/>
      <c r="DSE34" s="515"/>
      <c r="DSF34" s="515"/>
      <c r="DSG34" s="515"/>
      <c r="DSH34" s="515"/>
      <c r="DSI34" s="515"/>
      <c r="DSJ34" s="515"/>
      <c r="DSK34" s="514"/>
      <c r="DSL34" s="515"/>
      <c r="DSM34" s="515"/>
      <c r="DSN34" s="515"/>
      <c r="DSO34" s="515"/>
      <c r="DSP34" s="515"/>
      <c r="DSQ34" s="515"/>
      <c r="DSR34" s="515"/>
      <c r="DSS34" s="514"/>
      <c r="DST34" s="515"/>
      <c r="DSU34" s="515"/>
      <c r="DSV34" s="515"/>
      <c r="DSW34" s="515"/>
      <c r="DSX34" s="515"/>
      <c r="DSY34" s="515"/>
      <c r="DSZ34" s="515"/>
      <c r="DTA34" s="514"/>
      <c r="DTB34" s="515"/>
      <c r="DTC34" s="515"/>
      <c r="DTD34" s="515"/>
      <c r="DTE34" s="515"/>
      <c r="DTF34" s="515"/>
      <c r="DTG34" s="515"/>
      <c r="DTH34" s="515"/>
      <c r="DTI34" s="514"/>
      <c r="DTJ34" s="515"/>
      <c r="DTK34" s="515"/>
      <c r="DTL34" s="515"/>
      <c r="DTM34" s="515"/>
      <c r="DTN34" s="515"/>
      <c r="DTO34" s="515"/>
      <c r="DTP34" s="515"/>
      <c r="DTQ34" s="514"/>
      <c r="DTR34" s="515"/>
      <c r="DTS34" s="515"/>
      <c r="DTT34" s="515"/>
      <c r="DTU34" s="515"/>
      <c r="DTV34" s="515"/>
      <c r="DTW34" s="515"/>
      <c r="DTX34" s="515"/>
      <c r="DTY34" s="514"/>
      <c r="DTZ34" s="515"/>
      <c r="DUA34" s="515"/>
      <c r="DUB34" s="515"/>
      <c r="DUC34" s="515"/>
      <c r="DUD34" s="515"/>
      <c r="DUE34" s="515"/>
      <c r="DUF34" s="515"/>
      <c r="DUG34" s="514"/>
      <c r="DUH34" s="515"/>
      <c r="DUI34" s="515"/>
      <c r="DUJ34" s="515"/>
      <c r="DUK34" s="515"/>
      <c r="DUL34" s="515"/>
      <c r="DUM34" s="515"/>
      <c r="DUN34" s="515"/>
      <c r="DUO34" s="514"/>
      <c r="DUP34" s="515"/>
      <c r="DUQ34" s="515"/>
      <c r="DUR34" s="515"/>
      <c r="DUS34" s="515"/>
      <c r="DUT34" s="515"/>
      <c r="DUU34" s="515"/>
      <c r="DUV34" s="515"/>
      <c r="DUW34" s="514"/>
      <c r="DUX34" s="515"/>
      <c r="DUY34" s="515"/>
      <c r="DUZ34" s="515"/>
      <c r="DVA34" s="515"/>
      <c r="DVB34" s="515"/>
      <c r="DVC34" s="515"/>
      <c r="DVD34" s="515"/>
      <c r="DVE34" s="514"/>
      <c r="DVF34" s="515"/>
      <c r="DVG34" s="515"/>
      <c r="DVH34" s="515"/>
      <c r="DVI34" s="515"/>
      <c r="DVJ34" s="515"/>
      <c r="DVK34" s="515"/>
      <c r="DVL34" s="515"/>
      <c r="DVM34" s="514"/>
      <c r="DVN34" s="515"/>
      <c r="DVO34" s="515"/>
      <c r="DVP34" s="515"/>
      <c r="DVQ34" s="515"/>
      <c r="DVR34" s="515"/>
      <c r="DVS34" s="515"/>
      <c r="DVT34" s="515"/>
      <c r="DVU34" s="514"/>
      <c r="DVV34" s="515"/>
      <c r="DVW34" s="515"/>
      <c r="DVX34" s="515"/>
      <c r="DVY34" s="515"/>
      <c r="DVZ34" s="515"/>
      <c r="DWA34" s="515"/>
      <c r="DWB34" s="515"/>
      <c r="DWC34" s="514"/>
      <c r="DWD34" s="515"/>
      <c r="DWE34" s="515"/>
      <c r="DWF34" s="515"/>
      <c r="DWG34" s="515"/>
      <c r="DWH34" s="515"/>
      <c r="DWI34" s="515"/>
      <c r="DWJ34" s="515"/>
      <c r="DWK34" s="514"/>
      <c r="DWL34" s="515"/>
      <c r="DWM34" s="515"/>
      <c r="DWN34" s="515"/>
      <c r="DWO34" s="515"/>
      <c r="DWP34" s="515"/>
      <c r="DWQ34" s="515"/>
      <c r="DWR34" s="515"/>
      <c r="DWS34" s="514"/>
      <c r="DWT34" s="515"/>
      <c r="DWU34" s="515"/>
      <c r="DWV34" s="515"/>
      <c r="DWW34" s="515"/>
      <c r="DWX34" s="515"/>
      <c r="DWY34" s="515"/>
      <c r="DWZ34" s="515"/>
      <c r="DXA34" s="514"/>
      <c r="DXB34" s="515"/>
      <c r="DXC34" s="515"/>
      <c r="DXD34" s="515"/>
      <c r="DXE34" s="515"/>
      <c r="DXF34" s="515"/>
      <c r="DXG34" s="515"/>
      <c r="DXH34" s="515"/>
      <c r="DXI34" s="514"/>
      <c r="DXJ34" s="515"/>
      <c r="DXK34" s="515"/>
      <c r="DXL34" s="515"/>
      <c r="DXM34" s="515"/>
      <c r="DXN34" s="515"/>
      <c r="DXO34" s="515"/>
      <c r="DXP34" s="515"/>
      <c r="DXQ34" s="514"/>
      <c r="DXR34" s="515"/>
      <c r="DXS34" s="515"/>
      <c r="DXT34" s="515"/>
      <c r="DXU34" s="515"/>
      <c r="DXV34" s="515"/>
      <c r="DXW34" s="515"/>
      <c r="DXX34" s="515"/>
      <c r="DXY34" s="514"/>
      <c r="DXZ34" s="515"/>
      <c r="DYA34" s="515"/>
      <c r="DYB34" s="515"/>
      <c r="DYC34" s="515"/>
      <c r="DYD34" s="515"/>
      <c r="DYE34" s="515"/>
      <c r="DYF34" s="515"/>
      <c r="DYG34" s="514"/>
      <c r="DYH34" s="515"/>
      <c r="DYI34" s="515"/>
      <c r="DYJ34" s="515"/>
      <c r="DYK34" s="515"/>
      <c r="DYL34" s="515"/>
      <c r="DYM34" s="515"/>
      <c r="DYN34" s="515"/>
      <c r="DYO34" s="514"/>
      <c r="DYP34" s="515"/>
      <c r="DYQ34" s="515"/>
      <c r="DYR34" s="515"/>
      <c r="DYS34" s="515"/>
      <c r="DYT34" s="515"/>
      <c r="DYU34" s="515"/>
      <c r="DYV34" s="515"/>
      <c r="DYW34" s="514"/>
      <c r="DYX34" s="515"/>
      <c r="DYY34" s="515"/>
      <c r="DYZ34" s="515"/>
      <c r="DZA34" s="515"/>
      <c r="DZB34" s="515"/>
      <c r="DZC34" s="515"/>
      <c r="DZD34" s="515"/>
      <c r="DZE34" s="514"/>
      <c r="DZF34" s="515"/>
      <c r="DZG34" s="515"/>
      <c r="DZH34" s="515"/>
      <c r="DZI34" s="515"/>
      <c r="DZJ34" s="515"/>
      <c r="DZK34" s="515"/>
      <c r="DZL34" s="515"/>
      <c r="DZM34" s="514"/>
      <c r="DZN34" s="515"/>
      <c r="DZO34" s="515"/>
      <c r="DZP34" s="515"/>
      <c r="DZQ34" s="515"/>
      <c r="DZR34" s="515"/>
      <c r="DZS34" s="515"/>
      <c r="DZT34" s="515"/>
      <c r="DZU34" s="514"/>
      <c r="DZV34" s="515"/>
      <c r="DZW34" s="515"/>
      <c r="DZX34" s="515"/>
      <c r="DZY34" s="515"/>
      <c r="DZZ34" s="515"/>
      <c r="EAA34" s="515"/>
      <c r="EAB34" s="515"/>
      <c r="EAC34" s="514"/>
      <c r="EAD34" s="515"/>
      <c r="EAE34" s="515"/>
      <c r="EAF34" s="515"/>
      <c r="EAG34" s="515"/>
      <c r="EAH34" s="515"/>
      <c r="EAI34" s="515"/>
      <c r="EAJ34" s="515"/>
      <c r="EAK34" s="514"/>
      <c r="EAL34" s="515"/>
      <c r="EAM34" s="515"/>
      <c r="EAN34" s="515"/>
      <c r="EAO34" s="515"/>
      <c r="EAP34" s="515"/>
      <c r="EAQ34" s="515"/>
      <c r="EAR34" s="515"/>
      <c r="EAS34" s="514"/>
      <c r="EAT34" s="515"/>
      <c r="EAU34" s="515"/>
      <c r="EAV34" s="515"/>
      <c r="EAW34" s="515"/>
      <c r="EAX34" s="515"/>
      <c r="EAY34" s="515"/>
      <c r="EAZ34" s="515"/>
      <c r="EBA34" s="514"/>
      <c r="EBB34" s="515"/>
      <c r="EBC34" s="515"/>
      <c r="EBD34" s="515"/>
      <c r="EBE34" s="515"/>
      <c r="EBF34" s="515"/>
      <c r="EBG34" s="515"/>
      <c r="EBH34" s="515"/>
      <c r="EBI34" s="514"/>
      <c r="EBJ34" s="515"/>
      <c r="EBK34" s="515"/>
      <c r="EBL34" s="515"/>
      <c r="EBM34" s="515"/>
      <c r="EBN34" s="515"/>
      <c r="EBO34" s="515"/>
      <c r="EBP34" s="515"/>
      <c r="EBQ34" s="514"/>
      <c r="EBR34" s="515"/>
      <c r="EBS34" s="515"/>
      <c r="EBT34" s="515"/>
      <c r="EBU34" s="515"/>
      <c r="EBV34" s="515"/>
      <c r="EBW34" s="515"/>
      <c r="EBX34" s="515"/>
      <c r="EBY34" s="514"/>
      <c r="EBZ34" s="515"/>
      <c r="ECA34" s="515"/>
      <c r="ECB34" s="515"/>
      <c r="ECC34" s="515"/>
      <c r="ECD34" s="515"/>
      <c r="ECE34" s="515"/>
      <c r="ECF34" s="515"/>
      <c r="ECG34" s="514"/>
      <c r="ECH34" s="515"/>
      <c r="ECI34" s="515"/>
      <c r="ECJ34" s="515"/>
      <c r="ECK34" s="515"/>
      <c r="ECL34" s="515"/>
      <c r="ECM34" s="515"/>
      <c r="ECN34" s="515"/>
      <c r="ECO34" s="514"/>
      <c r="ECP34" s="515"/>
      <c r="ECQ34" s="515"/>
      <c r="ECR34" s="515"/>
      <c r="ECS34" s="515"/>
      <c r="ECT34" s="515"/>
      <c r="ECU34" s="515"/>
      <c r="ECV34" s="515"/>
      <c r="ECW34" s="514"/>
      <c r="ECX34" s="515"/>
      <c r="ECY34" s="515"/>
      <c r="ECZ34" s="515"/>
      <c r="EDA34" s="515"/>
      <c r="EDB34" s="515"/>
      <c r="EDC34" s="515"/>
      <c r="EDD34" s="515"/>
      <c r="EDE34" s="514"/>
      <c r="EDF34" s="515"/>
      <c r="EDG34" s="515"/>
      <c r="EDH34" s="515"/>
      <c r="EDI34" s="515"/>
      <c r="EDJ34" s="515"/>
      <c r="EDK34" s="515"/>
      <c r="EDL34" s="515"/>
      <c r="EDM34" s="514"/>
      <c r="EDN34" s="515"/>
      <c r="EDO34" s="515"/>
      <c r="EDP34" s="515"/>
      <c r="EDQ34" s="515"/>
      <c r="EDR34" s="515"/>
      <c r="EDS34" s="515"/>
      <c r="EDT34" s="515"/>
      <c r="EDU34" s="514"/>
      <c r="EDV34" s="515"/>
      <c r="EDW34" s="515"/>
      <c r="EDX34" s="515"/>
      <c r="EDY34" s="515"/>
      <c r="EDZ34" s="515"/>
      <c r="EEA34" s="515"/>
      <c r="EEB34" s="515"/>
      <c r="EEC34" s="514"/>
      <c r="EED34" s="515"/>
      <c r="EEE34" s="515"/>
      <c r="EEF34" s="515"/>
      <c r="EEG34" s="515"/>
      <c r="EEH34" s="515"/>
      <c r="EEI34" s="515"/>
      <c r="EEJ34" s="515"/>
      <c r="EEK34" s="514"/>
      <c r="EEL34" s="515"/>
      <c r="EEM34" s="515"/>
      <c r="EEN34" s="515"/>
      <c r="EEO34" s="515"/>
      <c r="EEP34" s="515"/>
      <c r="EEQ34" s="515"/>
      <c r="EER34" s="515"/>
      <c r="EES34" s="514"/>
      <c r="EET34" s="515"/>
      <c r="EEU34" s="515"/>
      <c r="EEV34" s="515"/>
      <c r="EEW34" s="515"/>
      <c r="EEX34" s="515"/>
      <c r="EEY34" s="515"/>
      <c r="EEZ34" s="515"/>
      <c r="EFA34" s="514"/>
      <c r="EFB34" s="515"/>
      <c r="EFC34" s="515"/>
      <c r="EFD34" s="515"/>
      <c r="EFE34" s="515"/>
      <c r="EFF34" s="515"/>
      <c r="EFG34" s="515"/>
      <c r="EFH34" s="515"/>
      <c r="EFI34" s="514"/>
      <c r="EFJ34" s="515"/>
      <c r="EFK34" s="515"/>
      <c r="EFL34" s="515"/>
      <c r="EFM34" s="515"/>
      <c r="EFN34" s="515"/>
      <c r="EFO34" s="515"/>
      <c r="EFP34" s="515"/>
      <c r="EFQ34" s="514"/>
      <c r="EFR34" s="515"/>
      <c r="EFS34" s="515"/>
      <c r="EFT34" s="515"/>
      <c r="EFU34" s="515"/>
      <c r="EFV34" s="515"/>
      <c r="EFW34" s="515"/>
      <c r="EFX34" s="515"/>
      <c r="EFY34" s="514"/>
      <c r="EFZ34" s="515"/>
      <c r="EGA34" s="515"/>
      <c r="EGB34" s="515"/>
      <c r="EGC34" s="515"/>
      <c r="EGD34" s="515"/>
      <c r="EGE34" s="515"/>
      <c r="EGF34" s="515"/>
      <c r="EGG34" s="514"/>
      <c r="EGH34" s="515"/>
      <c r="EGI34" s="515"/>
      <c r="EGJ34" s="515"/>
      <c r="EGK34" s="515"/>
      <c r="EGL34" s="515"/>
      <c r="EGM34" s="515"/>
      <c r="EGN34" s="515"/>
      <c r="EGO34" s="514"/>
      <c r="EGP34" s="515"/>
      <c r="EGQ34" s="515"/>
      <c r="EGR34" s="515"/>
      <c r="EGS34" s="515"/>
      <c r="EGT34" s="515"/>
      <c r="EGU34" s="515"/>
      <c r="EGV34" s="515"/>
      <c r="EGW34" s="514"/>
      <c r="EGX34" s="515"/>
      <c r="EGY34" s="515"/>
      <c r="EGZ34" s="515"/>
      <c r="EHA34" s="515"/>
      <c r="EHB34" s="515"/>
      <c r="EHC34" s="515"/>
      <c r="EHD34" s="515"/>
      <c r="EHE34" s="514"/>
      <c r="EHF34" s="515"/>
      <c r="EHG34" s="515"/>
      <c r="EHH34" s="515"/>
      <c r="EHI34" s="515"/>
      <c r="EHJ34" s="515"/>
      <c r="EHK34" s="515"/>
      <c r="EHL34" s="515"/>
      <c r="EHM34" s="514"/>
      <c r="EHN34" s="515"/>
      <c r="EHO34" s="515"/>
      <c r="EHP34" s="515"/>
      <c r="EHQ34" s="515"/>
      <c r="EHR34" s="515"/>
      <c r="EHS34" s="515"/>
      <c r="EHT34" s="515"/>
      <c r="EHU34" s="514"/>
      <c r="EHV34" s="515"/>
      <c r="EHW34" s="515"/>
      <c r="EHX34" s="515"/>
      <c r="EHY34" s="515"/>
      <c r="EHZ34" s="515"/>
      <c r="EIA34" s="515"/>
      <c r="EIB34" s="515"/>
      <c r="EIC34" s="514"/>
      <c r="EID34" s="515"/>
      <c r="EIE34" s="515"/>
      <c r="EIF34" s="515"/>
      <c r="EIG34" s="515"/>
      <c r="EIH34" s="515"/>
      <c r="EII34" s="515"/>
      <c r="EIJ34" s="515"/>
      <c r="EIK34" s="514"/>
      <c r="EIL34" s="515"/>
      <c r="EIM34" s="515"/>
      <c r="EIN34" s="515"/>
      <c r="EIO34" s="515"/>
      <c r="EIP34" s="515"/>
      <c r="EIQ34" s="515"/>
      <c r="EIR34" s="515"/>
      <c r="EIS34" s="514"/>
      <c r="EIT34" s="515"/>
      <c r="EIU34" s="515"/>
      <c r="EIV34" s="515"/>
      <c r="EIW34" s="515"/>
      <c r="EIX34" s="515"/>
      <c r="EIY34" s="515"/>
      <c r="EIZ34" s="515"/>
      <c r="EJA34" s="514"/>
      <c r="EJB34" s="515"/>
      <c r="EJC34" s="515"/>
      <c r="EJD34" s="515"/>
      <c r="EJE34" s="515"/>
      <c r="EJF34" s="515"/>
      <c r="EJG34" s="515"/>
      <c r="EJH34" s="515"/>
      <c r="EJI34" s="514"/>
      <c r="EJJ34" s="515"/>
      <c r="EJK34" s="515"/>
      <c r="EJL34" s="515"/>
      <c r="EJM34" s="515"/>
      <c r="EJN34" s="515"/>
      <c r="EJO34" s="515"/>
      <c r="EJP34" s="515"/>
      <c r="EJQ34" s="514"/>
      <c r="EJR34" s="515"/>
      <c r="EJS34" s="515"/>
      <c r="EJT34" s="515"/>
      <c r="EJU34" s="515"/>
      <c r="EJV34" s="515"/>
      <c r="EJW34" s="515"/>
      <c r="EJX34" s="515"/>
      <c r="EJY34" s="514"/>
      <c r="EJZ34" s="515"/>
      <c r="EKA34" s="515"/>
      <c r="EKB34" s="515"/>
      <c r="EKC34" s="515"/>
      <c r="EKD34" s="515"/>
      <c r="EKE34" s="515"/>
      <c r="EKF34" s="515"/>
      <c r="EKG34" s="514"/>
      <c r="EKH34" s="515"/>
      <c r="EKI34" s="515"/>
      <c r="EKJ34" s="515"/>
      <c r="EKK34" s="515"/>
      <c r="EKL34" s="515"/>
      <c r="EKM34" s="515"/>
      <c r="EKN34" s="515"/>
      <c r="EKO34" s="514"/>
      <c r="EKP34" s="515"/>
      <c r="EKQ34" s="515"/>
      <c r="EKR34" s="515"/>
      <c r="EKS34" s="515"/>
      <c r="EKT34" s="515"/>
      <c r="EKU34" s="515"/>
      <c r="EKV34" s="515"/>
      <c r="EKW34" s="514"/>
      <c r="EKX34" s="515"/>
      <c r="EKY34" s="515"/>
      <c r="EKZ34" s="515"/>
      <c r="ELA34" s="515"/>
      <c r="ELB34" s="515"/>
      <c r="ELC34" s="515"/>
      <c r="ELD34" s="515"/>
      <c r="ELE34" s="514"/>
      <c r="ELF34" s="515"/>
      <c r="ELG34" s="515"/>
      <c r="ELH34" s="515"/>
      <c r="ELI34" s="515"/>
      <c r="ELJ34" s="515"/>
      <c r="ELK34" s="515"/>
      <c r="ELL34" s="515"/>
      <c r="ELM34" s="514"/>
      <c r="ELN34" s="515"/>
      <c r="ELO34" s="515"/>
      <c r="ELP34" s="515"/>
      <c r="ELQ34" s="515"/>
      <c r="ELR34" s="515"/>
      <c r="ELS34" s="515"/>
      <c r="ELT34" s="515"/>
      <c r="ELU34" s="514"/>
      <c r="ELV34" s="515"/>
      <c r="ELW34" s="515"/>
      <c r="ELX34" s="515"/>
      <c r="ELY34" s="515"/>
      <c r="ELZ34" s="515"/>
      <c r="EMA34" s="515"/>
      <c r="EMB34" s="515"/>
      <c r="EMC34" s="514"/>
      <c r="EMD34" s="515"/>
      <c r="EME34" s="515"/>
      <c r="EMF34" s="515"/>
      <c r="EMG34" s="515"/>
      <c r="EMH34" s="515"/>
      <c r="EMI34" s="515"/>
      <c r="EMJ34" s="515"/>
      <c r="EMK34" s="514"/>
      <c r="EML34" s="515"/>
      <c r="EMM34" s="515"/>
      <c r="EMN34" s="515"/>
      <c r="EMO34" s="515"/>
      <c r="EMP34" s="515"/>
      <c r="EMQ34" s="515"/>
      <c r="EMR34" s="515"/>
      <c r="EMS34" s="514"/>
      <c r="EMT34" s="515"/>
      <c r="EMU34" s="515"/>
      <c r="EMV34" s="515"/>
      <c r="EMW34" s="515"/>
      <c r="EMX34" s="515"/>
      <c r="EMY34" s="515"/>
      <c r="EMZ34" s="515"/>
      <c r="ENA34" s="514"/>
      <c r="ENB34" s="515"/>
      <c r="ENC34" s="515"/>
      <c r="END34" s="515"/>
      <c r="ENE34" s="515"/>
      <c r="ENF34" s="515"/>
      <c r="ENG34" s="515"/>
      <c r="ENH34" s="515"/>
      <c r="ENI34" s="514"/>
      <c r="ENJ34" s="515"/>
      <c r="ENK34" s="515"/>
      <c r="ENL34" s="515"/>
      <c r="ENM34" s="515"/>
      <c r="ENN34" s="515"/>
      <c r="ENO34" s="515"/>
      <c r="ENP34" s="515"/>
      <c r="ENQ34" s="514"/>
      <c r="ENR34" s="515"/>
      <c r="ENS34" s="515"/>
      <c r="ENT34" s="515"/>
      <c r="ENU34" s="515"/>
      <c r="ENV34" s="515"/>
      <c r="ENW34" s="515"/>
      <c r="ENX34" s="515"/>
      <c r="ENY34" s="514"/>
      <c r="ENZ34" s="515"/>
      <c r="EOA34" s="515"/>
      <c r="EOB34" s="515"/>
      <c r="EOC34" s="515"/>
      <c r="EOD34" s="515"/>
      <c r="EOE34" s="515"/>
      <c r="EOF34" s="515"/>
      <c r="EOG34" s="514"/>
      <c r="EOH34" s="515"/>
      <c r="EOI34" s="515"/>
      <c r="EOJ34" s="515"/>
      <c r="EOK34" s="515"/>
      <c r="EOL34" s="515"/>
      <c r="EOM34" s="515"/>
      <c r="EON34" s="515"/>
      <c r="EOO34" s="514"/>
      <c r="EOP34" s="515"/>
      <c r="EOQ34" s="515"/>
      <c r="EOR34" s="515"/>
      <c r="EOS34" s="515"/>
      <c r="EOT34" s="515"/>
      <c r="EOU34" s="515"/>
      <c r="EOV34" s="515"/>
      <c r="EOW34" s="514"/>
      <c r="EOX34" s="515"/>
      <c r="EOY34" s="515"/>
      <c r="EOZ34" s="515"/>
      <c r="EPA34" s="515"/>
      <c r="EPB34" s="515"/>
      <c r="EPC34" s="515"/>
      <c r="EPD34" s="515"/>
      <c r="EPE34" s="514"/>
      <c r="EPF34" s="515"/>
      <c r="EPG34" s="515"/>
      <c r="EPH34" s="515"/>
      <c r="EPI34" s="515"/>
      <c r="EPJ34" s="515"/>
      <c r="EPK34" s="515"/>
      <c r="EPL34" s="515"/>
      <c r="EPM34" s="514"/>
      <c r="EPN34" s="515"/>
      <c r="EPO34" s="515"/>
      <c r="EPP34" s="515"/>
      <c r="EPQ34" s="515"/>
      <c r="EPR34" s="515"/>
      <c r="EPS34" s="515"/>
      <c r="EPT34" s="515"/>
      <c r="EPU34" s="514"/>
      <c r="EPV34" s="515"/>
      <c r="EPW34" s="515"/>
      <c r="EPX34" s="515"/>
      <c r="EPY34" s="515"/>
      <c r="EPZ34" s="515"/>
      <c r="EQA34" s="515"/>
      <c r="EQB34" s="515"/>
      <c r="EQC34" s="514"/>
      <c r="EQD34" s="515"/>
      <c r="EQE34" s="515"/>
      <c r="EQF34" s="515"/>
      <c r="EQG34" s="515"/>
      <c r="EQH34" s="515"/>
      <c r="EQI34" s="515"/>
      <c r="EQJ34" s="515"/>
      <c r="EQK34" s="514"/>
      <c r="EQL34" s="515"/>
      <c r="EQM34" s="515"/>
      <c r="EQN34" s="515"/>
      <c r="EQO34" s="515"/>
      <c r="EQP34" s="515"/>
      <c r="EQQ34" s="515"/>
      <c r="EQR34" s="515"/>
      <c r="EQS34" s="514"/>
      <c r="EQT34" s="515"/>
      <c r="EQU34" s="515"/>
      <c r="EQV34" s="515"/>
      <c r="EQW34" s="515"/>
      <c r="EQX34" s="515"/>
      <c r="EQY34" s="515"/>
      <c r="EQZ34" s="515"/>
      <c r="ERA34" s="514"/>
      <c r="ERB34" s="515"/>
      <c r="ERC34" s="515"/>
      <c r="ERD34" s="515"/>
      <c r="ERE34" s="515"/>
      <c r="ERF34" s="515"/>
      <c r="ERG34" s="515"/>
      <c r="ERH34" s="515"/>
      <c r="ERI34" s="514"/>
      <c r="ERJ34" s="515"/>
      <c r="ERK34" s="515"/>
      <c r="ERL34" s="515"/>
      <c r="ERM34" s="515"/>
      <c r="ERN34" s="515"/>
      <c r="ERO34" s="515"/>
      <c r="ERP34" s="515"/>
      <c r="ERQ34" s="514"/>
      <c r="ERR34" s="515"/>
      <c r="ERS34" s="515"/>
      <c r="ERT34" s="515"/>
      <c r="ERU34" s="515"/>
      <c r="ERV34" s="515"/>
      <c r="ERW34" s="515"/>
      <c r="ERX34" s="515"/>
      <c r="ERY34" s="514"/>
      <c r="ERZ34" s="515"/>
      <c r="ESA34" s="515"/>
      <c r="ESB34" s="515"/>
      <c r="ESC34" s="515"/>
      <c r="ESD34" s="515"/>
      <c r="ESE34" s="515"/>
      <c r="ESF34" s="515"/>
      <c r="ESG34" s="514"/>
      <c r="ESH34" s="515"/>
      <c r="ESI34" s="515"/>
      <c r="ESJ34" s="515"/>
      <c r="ESK34" s="515"/>
      <c r="ESL34" s="515"/>
      <c r="ESM34" s="515"/>
      <c r="ESN34" s="515"/>
      <c r="ESO34" s="514"/>
      <c r="ESP34" s="515"/>
      <c r="ESQ34" s="515"/>
      <c r="ESR34" s="515"/>
      <c r="ESS34" s="515"/>
      <c r="EST34" s="515"/>
      <c r="ESU34" s="515"/>
      <c r="ESV34" s="515"/>
      <c r="ESW34" s="514"/>
      <c r="ESX34" s="515"/>
      <c r="ESY34" s="515"/>
      <c r="ESZ34" s="515"/>
      <c r="ETA34" s="515"/>
      <c r="ETB34" s="515"/>
      <c r="ETC34" s="515"/>
      <c r="ETD34" s="515"/>
      <c r="ETE34" s="514"/>
      <c r="ETF34" s="515"/>
      <c r="ETG34" s="515"/>
      <c r="ETH34" s="515"/>
      <c r="ETI34" s="515"/>
      <c r="ETJ34" s="515"/>
      <c r="ETK34" s="515"/>
      <c r="ETL34" s="515"/>
      <c r="ETM34" s="514"/>
      <c r="ETN34" s="515"/>
      <c r="ETO34" s="515"/>
      <c r="ETP34" s="515"/>
      <c r="ETQ34" s="515"/>
      <c r="ETR34" s="515"/>
      <c r="ETS34" s="515"/>
      <c r="ETT34" s="515"/>
      <c r="ETU34" s="514"/>
      <c r="ETV34" s="515"/>
      <c r="ETW34" s="515"/>
      <c r="ETX34" s="515"/>
      <c r="ETY34" s="515"/>
      <c r="ETZ34" s="515"/>
      <c r="EUA34" s="515"/>
      <c r="EUB34" s="515"/>
      <c r="EUC34" s="514"/>
      <c r="EUD34" s="515"/>
      <c r="EUE34" s="515"/>
      <c r="EUF34" s="515"/>
      <c r="EUG34" s="515"/>
      <c r="EUH34" s="515"/>
      <c r="EUI34" s="515"/>
      <c r="EUJ34" s="515"/>
      <c r="EUK34" s="514"/>
      <c r="EUL34" s="515"/>
      <c r="EUM34" s="515"/>
      <c r="EUN34" s="515"/>
      <c r="EUO34" s="515"/>
      <c r="EUP34" s="515"/>
      <c r="EUQ34" s="515"/>
      <c r="EUR34" s="515"/>
      <c r="EUS34" s="514"/>
      <c r="EUT34" s="515"/>
      <c r="EUU34" s="515"/>
      <c r="EUV34" s="515"/>
      <c r="EUW34" s="515"/>
      <c r="EUX34" s="515"/>
      <c r="EUY34" s="515"/>
      <c r="EUZ34" s="515"/>
      <c r="EVA34" s="514"/>
      <c r="EVB34" s="515"/>
      <c r="EVC34" s="515"/>
      <c r="EVD34" s="515"/>
      <c r="EVE34" s="515"/>
      <c r="EVF34" s="515"/>
      <c r="EVG34" s="515"/>
      <c r="EVH34" s="515"/>
      <c r="EVI34" s="514"/>
      <c r="EVJ34" s="515"/>
      <c r="EVK34" s="515"/>
      <c r="EVL34" s="515"/>
      <c r="EVM34" s="515"/>
      <c r="EVN34" s="515"/>
      <c r="EVO34" s="515"/>
      <c r="EVP34" s="515"/>
      <c r="EVQ34" s="514"/>
      <c r="EVR34" s="515"/>
      <c r="EVS34" s="515"/>
      <c r="EVT34" s="515"/>
      <c r="EVU34" s="515"/>
      <c r="EVV34" s="515"/>
      <c r="EVW34" s="515"/>
      <c r="EVX34" s="515"/>
      <c r="EVY34" s="514"/>
      <c r="EVZ34" s="515"/>
      <c r="EWA34" s="515"/>
      <c r="EWB34" s="515"/>
      <c r="EWC34" s="515"/>
      <c r="EWD34" s="515"/>
      <c r="EWE34" s="515"/>
      <c r="EWF34" s="515"/>
      <c r="EWG34" s="514"/>
      <c r="EWH34" s="515"/>
      <c r="EWI34" s="515"/>
      <c r="EWJ34" s="515"/>
      <c r="EWK34" s="515"/>
      <c r="EWL34" s="515"/>
      <c r="EWM34" s="515"/>
      <c r="EWN34" s="515"/>
      <c r="EWO34" s="514"/>
      <c r="EWP34" s="515"/>
      <c r="EWQ34" s="515"/>
      <c r="EWR34" s="515"/>
      <c r="EWS34" s="515"/>
      <c r="EWT34" s="515"/>
      <c r="EWU34" s="515"/>
      <c r="EWV34" s="515"/>
      <c r="EWW34" s="514"/>
      <c r="EWX34" s="515"/>
      <c r="EWY34" s="515"/>
      <c r="EWZ34" s="515"/>
      <c r="EXA34" s="515"/>
      <c r="EXB34" s="515"/>
      <c r="EXC34" s="515"/>
      <c r="EXD34" s="515"/>
      <c r="EXE34" s="514"/>
      <c r="EXF34" s="515"/>
      <c r="EXG34" s="515"/>
      <c r="EXH34" s="515"/>
      <c r="EXI34" s="515"/>
      <c r="EXJ34" s="515"/>
      <c r="EXK34" s="515"/>
      <c r="EXL34" s="515"/>
      <c r="EXM34" s="514"/>
      <c r="EXN34" s="515"/>
      <c r="EXO34" s="515"/>
      <c r="EXP34" s="515"/>
      <c r="EXQ34" s="515"/>
      <c r="EXR34" s="515"/>
      <c r="EXS34" s="515"/>
      <c r="EXT34" s="515"/>
      <c r="EXU34" s="514"/>
      <c r="EXV34" s="515"/>
      <c r="EXW34" s="515"/>
      <c r="EXX34" s="515"/>
      <c r="EXY34" s="515"/>
      <c r="EXZ34" s="515"/>
      <c r="EYA34" s="515"/>
      <c r="EYB34" s="515"/>
      <c r="EYC34" s="514"/>
      <c r="EYD34" s="515"/>
      <c r="EYE34" s="515"/>
      <c r="EYF34" s="515"/>
      <c r="EYG34" s="515"/>
      <c r="EYH34" s="515"/>
      <c r="EYI34" s="515"/>
      <c r="EYJ34" s="515"/>
      <c r="EYK34" s="514"/>
      <c r="EYL34" s="515"/>
      <c r="EYM34" s="515"/>
      <c r="EYN34" s="515"/>
      <c r="EYO34" s="515"/>
      <c r="EYP34" s="515"/>
      <c r="EYQ34" s="515"/>
      <c r="EYR34" s="515"/>
      <c r="EYS34" s="514"/>
      <c r="EYT34" s="515"/>
      <c r="EYU34" s="515"/>
      <c r="EYV34" s="515"/>
      <c r="EYW34" s="515"/>
      <c r="EYX34" s="515"/>
      <c r="EYY34" s="515"/>
      <c r="EYZ34" s="515"/>
      <c r="EZA34" s="514"/>
      <c r="EZB34" s="515"/>
      <c r="EZC34" s="515"/>
      <c r="EZD34" s="515"/>
      <c r="EZE34" s="515"/>
      <c r="EZF34" s="515"/>
      <c r="EZG34" s="515"/>
      <c r="EZH34" s="515"/>
      <c r="EZI34" s="514"/>
      <c r="EZJ34" s="515"/>
      <c r="EZK34" s="515"/>
      <c r="EZL34" s="515"/>
      <c r="EZM34" s="515"/>
      <c r="EZN34" s="515"/>
      <c r="EZO34" s="515"/>
      <c r="EZP34" s="515"/>
      <c r="EZQ34" s="514"/>
      <c r="EZR34" s="515"/>
      <c r="EZS34" s="515"/>
      <c r="EZT34" s="515"/>
      <c r="EZU34" s="515"/>
      <c r="EZV34" s="515"/>
      <c r="EZW34" s="515"/>
      <c r="EZX34" s="515"/>
      <c r="EZY34" s="514"/>
      <c r="EZZ34" s="515"/>
      <c r="FAA34" s="515"/>
      <c r="FAB34" s="515"/>
      <c r="FAC34" s="515"/>
      <c r="FAD34" s="515"/>
      <c r="FAE34" s="515"/>
      <c r="FAF34" s="515"/>
      <c r="FAG34" s="514"/>
      <c r="FAH34" s="515"/>
      <c r="FAI34" s="515"/>
      <c r="FAJ34" s="515"/>
      <c r="FAK34" s="515"/>
      <c r="FAL34" s="515"/>
      <c r="FAM34" s="515"/>
      <c r="FAN34" s="515"/>
      <c r="FAO34" s="514"/>
      <c r="FAP34" s="515"/>
      <c r="FAQ34" s="515"/>
      <c r="FAR34" s="515"/>
      <c r="FAS34" s="515"/>
      <c r="FAT34" s="515"/>
      <c r="FAU34" s="515"/>
      <c r="FAV34" s="515"/>
      <c r="FAW34" s="514"/>
      <c r="FAX34" s="515"/>
      <c r="FAY34" s="515"/>
      <c r="FAZ34" s="515"/>
      <c r="FBA34" s="515"/>
      <c r="FBB34" s="515"/>
      <c r="FBC34" s="515"/>
      <c r="FBD34" s="515"/>
      <c r="FBE34" s="514"/>
      <c r="FBF34" s="515"/>
      <c r="FBG34" s="515"/>
      <c r="FBH34" s="515"/>
      <c r="FBI34" s="515"/>
      <c r="FBJ34" s="515"/>
      <c r="FBK34" s="515"/>
      <c r="FBL34" s="515"/>
      <c r="FBM34" s="514"/>
      <c r="FBN34" s="515"/>
      <c r="FBO34" s="515"/>
      <c r="FBP34" s="515"/>
      <c r="FBQ34" s="515"/>
      <c r="FBR34" s="515"/>
      <c r="FBS34" s="515"/>
      <c r="FBT34" s="515"/>
      <c r="FBU34" s="514"/>
      <c r="FBV34" s="515"/>
      <c r="FBW34" s="515"/>
      <c r="FBX34" s="515"/>
      <c r="FBY34" s="515"/>
      <c r="FBZ34" s="515"/>
      <c r="FCA34" s="515"/>
      <c r="FCB34" s="515"/>
      <c r="FCC34" s="514"/>
      <c r="FCD34" s="515"/>
      <c r="FCE34" s="515"/>
      <c r="FCF34" s="515"/>
      <c r="FCG34" s="515"/>
      <c r="FCH34" s="515"/>
      <c r="FCI34" s="515"/>
      <c r="FCJ34" s="515"/>
      <c r="FCK34" s="514"/>
      <c r="FCL34" s="515"/>
      <c r="FCM34" s="515"/>
      <c r="FCN34" s="515"/>
      <c r="FCO34" s="515"/>
      <c r="FCP34" s="515"/>
      <c r="FCQ34" s="515"/>
      <c r="FCR34" s="515"/>
      <c r="FCS34" s="514"/>
      <c r="FCT34" s="515"/>
      <c r="FCU34" s="515"/>
      <c r="FCV34" s="515"/>
      <c r="FCW34" s="515"/>
      <c r="FCX34" s="515"/>
      <c r="FCY34" s="515"/>
      <c r="FCZ34" s="515"/>
      <c r="FDA34" s="514"/>
      <c r="FDB34" s="515"/>
      <c r="FDC34" s="515"/>
      <c r="FDD34" s="515"/>
      <c r="FDE34" s="515"/>
      <c r="FDF34" s="515"/>
      <c r="FDG34" s="515"/>
      <c r="FDH34" s="515"/>
      <c r="FDI34" s="514"/>
      <c r="FDJ34" s="515"/>
      <c r="FDK34" s="515"/>
      <c r="FDL34" s="515"/>
      <c r="FDM34" s="515"/>
      <c r="FDN34" s="515"/>
      <c r="FDO34" s="515"/>
      <c r="FDP34" s="515"/>
      <c r="FDQ34" s="514"/>
      <c r="FDR34" s="515"/>
      <c r="FDS34" s="515"/>
      <c r="FDT34" s="515"/>
      <c r="FDU34" s="515"/>
      <c r="FDV34" s="515"/>
      <c r="FDW34" s="515"/>
      <c r="FDX34" s="515"/>
      <c r="FDY34" s="514"/>
      <c r="FDZ34" s="515"/>
      <c r="FEA34" s="515"/>
      <c r="FEB34" s="515"/>
      <c r="FEC34" s="515"/>
      <c r="FED34" s="515"/>
      <c r="FEE34" s="515"/>
      <c r="FEF34" s="515"/>
      <c r="FEG34" s="514"/>
      <c r="FEH34" s="515"/>
      <c r="FEI34" s="515"/>
      <c r="FEJ34" s="515"/>
      <c r="FEK34" s="515"/>
      <c r="FEL34" s="515"/>
      <c r="FEM34" s="515"/>
      <c r="FEN34" s="515"/>
      <c r="FEO34" s="514"/>
      <c r="FEP34" s="515"/>
      <c r="FEQ34" s="515"/>
      <c r="FER34" s="515"/>
      <c r="FES34" s="515"/>
      <c r="FET34" s="515"/>
      <c r="FEU34" s="515"/>
      <c r="FEV34" s="515"/>
      <c r="FEW34" s="514"/>
      <c r="FEX34" s="515"/>
      <c r="FEY34" s="515"/>
      <c r="FEZ34" s="515"/>
      <c r="FFA34" s="515"/>
      <c r="FFB34" s="515"/>
      <c r="FFC34" s="515"/>
      <c r="FFD34" s="515"/>
      <c r="FFE34" s="514"/>
      <c r="FFF34" s="515"/>
      <c r="FFG34" s="515"/>
      <c r="FFH34" s="515"/>
      <c r="FFI34" s="515"/>
      <c r="FFJ34" s="515"/>
      <c r="FFK34" s="515"/>
      <c r="FFL34" s="515"/>
      <c r="FFM34" s="514"/>
      <c r="FFN34" s="515"/>
      <c r="FFO34" s="515"/>
      <c r="FFP34" s="515"/>
      <c r="FFQ34" s="515"/>
      <c r="FFR34" s="515"/>
      <c r="FFS34" s="515"/>
      <c r="FFT34" s="515"/>
      <c r="FFU34" s="514"/>
      <c r="FFV34" s="515"/>
      <c r="FFW34" s="515"/>
      <c r="FFX34" s="515"/>
      <c r="FFY34" s="515"/>
      <c r="FFZ34" s="515"/>
      <c r="FGA34" s="515"/>
      <c r="FGB34" s="515"/>
      <c r="FGC34" s="514"/>
      <c r="FGD34" s="515"/>
      <c r="FGE34" s="515"/>
      <c r="FGF34" s="515"/>
      <c r="FGG34" s="515"/>
      <c r="FGH34" s="515"/>
      <c r="FGI34" s="515"/>
      <c r="FGJ34" s="515"/>
      <c r="FGK34" s="514"/>
      <c r="FGL34" s="515"/>
      <c r="FGM34" s="515"/>
      <c r="FGN34" s="515"/>
      <c r="FGO34" s="515"/>
      <c r="FGP34" s="515"/>
      <c r="FGQ34" s="515"/>
      <c r="FGR34" s="515"/>
      <c r="FGS34" s="514"/>
      <c r="FGT34" s="515"/>
      <c r="FGU34" s="515"/>
      <c r="FGV34" s="515"/>
      <c r="FGW34" s="515"/>
      <c r="FGX34" s="515"/>
      <c r="FGY34" s="515"/>
      <c r="FGZ34" s="515"/>
      <c r="FHA34" s="514"/>
      <c r="FHB34" s="515"/>
      <c r="FHC34" s="515"/>
      <c r="FHD34" s="515"/>
      <c r="FHE34" s="515"/>
      <c r="FHF34" s="515"/>
      <c r="FHG34" s="515"/>
      <c r="FHH34" s="515"/>
      <c r="FHI34" s="514"/>
      <c r="FHJ34" s="515"/>
      <c r="FHK34" s="515"/>
      <c r="FHL34" s="515"/>
      <c r="FHM34" s="515"/>
      <c r="FHN34" s="515"/>
      <c r="FHO34" s="515"/>
      <c r="FHP34" s="515"/>
      <c r="FHQ34" s="514"/>
      <c r="FHR34" s="515"/>
      <c r="FHS34" s="515"/>
      <c r="FHT34" s="515"/>
      <c r="FHU34" s="515"/>
      <c r="FHV34" s="515"/>
      <c r="FHW34" s="515"/>
      <c r="FHX34" s="515"/>
      <c r="FHY34" s="514"/>
      <c r="FHZ34" s="515"/>
      <c r="FIA34" s="515"/>
      <c r="FIB34" s="515"/>
      <c r="FIC34" s="515"/>
      <c r="FID34" s="515"/>
      <c r="FIE34" s="515"/>
      <c r="FIF34" s="515"/>
      <c r="FIG34" s="514"/>
      <c r="FIH34" s="515"/>
      <c r="FII34" s="515"/>
      <c r="FIJ34" s="515"/>
      <c r="FIK34" s="515"/>
      <c r="FIL34" s="515"/>
      <c r="FIM34" s="515"/>
      <c r="FIN34" s="515"/>
      <c r="FIO34" s="514"/>
      <c r="FIP34" s="515"/>
      <c r="FIQ34" s="515"/>
      <c r="FIR34" s="515"/>
      <c r="FIS34" s="515"/>
      <c r="FIT34" s="515"/>
      <c r="FIU34" s="515"/>
      <c r="FIV34" s="515"/>
      <c r="FIW34" s="514"/>
      <c r="FIX34" s="515"/>
      <c r="FIY34" s="515"/>
      <c r="FIZ34" s="515"/>
      <c r="FJA34" s="515"/>
      <c r="FJB34" s="515"/>
      <c r="FJC34" s="515"/>
      <c r="FJD34" s="515"/>
      <c r="FJE34" s="514"/>
      <c r="FJF34" s="515"/>
      <c r="FJG34" s="515"/>
      <c r="FJH34" s="515"/>
      <c r="FJI34" s="515"/>
      <c r="FJJ34" s="515"/>
      <c r="FJK34" s="515"/>
      <c r="FJL34" s="515"/>
      <c r="FJM34" s="514"/>
      <c r="FJN34" s="515"/>
      <c r="FJO34" s="515"/>
      <c r="FJP34" s="515"/>
      <c r="FJQ34" s="515"/>
      <c r="FJR34" s="515"/>
      <c r="FJS34" s="515"/>
      <c r="FJT34" s="515"/>
      <c r="FJU34" s="514"/>
      <c r="FJV34" s="515"/>
      <c r="FJW34" s="515"/>
      <c r="FJX34" s="515"/>
      <c r="FJY34" s="515"/>
      <c r="FJZ34" s="515"/>
      <c r="FKA34" s="515"/>
      <c r="FKB34" s="515"/>
      <c r="FKC34" s="514"/>
      <c r="FKD34" s="515"/>
      <c r="FKE34" s="515"/>
      <c r="FKF34" s="515"/>
      <c r="FKG34" s="515"/>
      <c r="FKH34" s="515"/>
      <c r="FKI34" s="515"/>
      <c r="FKJ34" s="515"/>
      <c r="FKK34" s="514"/>
      <c r="FKL34" s="515"/>
      <c r="FKM34" s="515"/>
      <c r="FKN34" s="515"/>
      <c r="FKO34" s="515"/>
      <c r="FKP34" s="515"/>
      <c r="FKQ34" s="515"/>
      <c r="FKR34" s="515"/>
      <c r="FKS34" s="514"/>
      <c r="FKT34" s="515"/>
      <c r="FKU34" s="515"/>
      <c r="FKV34" s="515"/>
      <c r="FKW34" s="515"/>
      <c r="FKX34" s="515"/>
      <c r="FKY34" s="515"/>
      <c r="FKZ34" s="515"/>
      <c r="FLA34" s="514"/>
      <c r="FLB34" s="515"/>
      <c r="FLC34" s="515"/>
      <c r="FLD34" s="515"/>
      <c r="FLE34" s="515"/>
      <c r="FLF34" s="515"/>
      <c r="FLG34" s="515"/>
      <c r="FLH34" s="515"/>
      <c r="FLI34" s="514"/>
      <c r="FLJ34" s="515"/>
      <c r="FLK34" s="515"/>
      <c r="FLL34" s="515"/>
      <c r="FLM34" s="515"/>
      <c r="FLN34" s="515"/>
      <c r="FLO34" s="515"/>
      <c r="FLP34" s="515"/>
      <c r="FLQ34" s="514"/>
      <c r="FLR34" s="515"/>
      <c r="FLS34" s="515"/>
      <c r="FLT34" s="515"/>
      <c r="FLU34" s="515"/>
      <c r="FLV34" s="515"/>
      <c r="FLW34" s="515"/>
      <c r="FLX34" s="515"/>
      <c r="FLY34" s="514"/>
      <c r="FLZ34" s="515"/>
      <c r="FMA34" s="515"/>
      <c r="FMB34" s="515"/>
      <c r="FMC34" s="515"/>
      <c r="FMD34" s="515"/>
      <c r="FME34" s="515"/>
      <c r="FMF34" s="515"/>
      <c r="FMG34" s="514"/>
      <c r="FMH34" s="515"/>
      <c r="FMI34" s="515"/>
      <c r="FMJ34" s="515"/>
      <c r="FMK34" s="515"/>
      <c r="FML34" s="515"/>
      <c r="FMM34" s="515"/>
      <c r="FMN34" s="515"/>
      <c r="FMO34" s="514"/>
      <c r="FMP34" s="515"/>
      <c r="FMQ34" s="515"/>
      <c r="FMR34" s="515"/>
      <c r="FMS34" s="515"/>
      <c r="FMT34" s="515"/>
      <c r="FMU34" s="515"/>
      <c r="FMV34" s="515"/>
      <c r="FMW34" s="514"/>
      <c r="FMX34" s="515"/>
      <c r="FMY34" s="515"/>
      <c r="FMZ34" s="515"/>
      <c r="FNA34" s="515"/>
      <c r="FNB34" s="515"/>
      <c r="FNC34" s="515"/>
      <c r="FND34" s="515"/>
      <c r="FNE34" s="514"/>
      <c r="FNF34" s="515"/>
      <c r="FNG34" s="515"/>
      <c r="FNH34" s="515"/>
      <c r="FNI34" s="515"/>
      <c r="FNJ34" s="515"/>
      <c r="FNK34" s="515"/>
      <c r="FNL34" s="515"/>
      <c r="FNM34" s="514"/>
      <c r="FNN34" s="515"/>
      <c r="FNO34" s="515"/>
      <c r="FNP34" s="515"/>
      <c r="FNQ34" s="515"/>
      <c r="FNR34" s="515"/>
      <c r="FNS34" s="515"/>
      <c r="FNT34" s="515"/>
      <c r="FNU34" s="514"/>
      <c r="FNV34" s="515"/>
      <c r="FNW34" s="515"/>
      <c r="FNX34" s="515"/>
      <c r="FNY34" s="515"/>
      <c r="FNZ34" s="515"/>
      <c r="FOA34" s="515"/>
      <c r="FOB34" s="515"/>
      <c r="FOC34" s="514"/>
      <c r="FOD34" s="515"/>
      <c r="FOE34" s="515"/>
      <c r="FOF34" s="515"/>
      <c r="FOG34" s="515"/>
      <c r="FOH34" s="515"/>
      <c r="FOI34" s="515"/>
      <c r="FOJ34" s="515"/>
      <c r="FOK34" s="514"/>
      <c r="FOL34" s="515"/>
      <c r="FOM34" s="515"/>
      <c r="FON34" s="515"/>
      <c r="FOO34" s="515"/>
      <c r="FOP34" s="515"/>
      <c r="FOQ34" s="515"/>
      <c r="FOR34" s="515"/>
      <c r="FOS34" s="514"/>
      <c r="FOT34" s="515"/>
      <c r="FOU34" s="515"/>
      <c r="FOV34" s="515"/>
      <c r="FOW34" s="515"/>
      <c r="FOX34" s="515"/>
      <c r="FOY34" s="515"/>
      <c r="FOZ34" s="515"/>
      <c r="FPA34" s="514"/>
      <c r="FPB34" s="515"/>
      <c r="FPC34" s="515"/>
      <c r="FPD34" s="515"/>
      <c r="FPE34" s="515"/>
      <c r="FPF34" s="515"/>
      <c r="FPG34" s="515"/>
      <c r="FPH34" s="515"/>
      <c r="FPI34" s="514"/>
      <c r="FPJ34" s="515"/>
      <c r="FPK34" s="515"/>
      <c r="FPL34" s="515"/>
      <c r="FPM34" s="515"/>
      <c r="FPN34" s="515"/>
      <c r="FPO34" s="515"/>
      <c r="FPP34" s="515"/>
      <c r="FPQ34" s="514"/>
      <c r="FPR34" s="515"/>
      <c r="FPS34" s="515"/>
      <c r="FPT34" s="515"/>
      <c r="FPU34" s="515"/>
      <c r="FPV34" s="515"/>
      <c r="FPW34" s="515"/>
      <c r="FPX34" s="515"/>
      <c r="FPY34" s="514"/>
      <c r="FPZ34" s="515"/>
      <c r="FQA34" s="515"/>
      <c r="FQB34" s="515"/>
      <c r="FQC34" s="515"/>
      <c r="FQD34" s="515"/>
      <c r="FQE34" s="515"/>
      <c r="FQF34" s="515"/>
      <c r="FQG34" s="514"/>
      <c r="FQH34" s="515"/>
      <c r="FQI34" s="515"/>
      <c r="FQJ34" s="515"/>
      <c r="FQK34" s="515"/>
      <c r="FQL34" s="515"/>
      <c r="FQM34" s="515"/>
      <c r="FQN34" s="515"/>
      <c r="FQO34" s="514"/>
      <c r="FQP34" s="515"/>
      <c r="FQQ34" s="515"/>
      <c r="FQR34" s="515"/>
      <c r="FQS34" s="515"/>
      <c r="FQT34" s="515"/>
      <c r="FQU34" s="515"/>
      <c r="FQV34" s="515"/>
      <c r="FQW34" s="514"/>
      <c r="FQX34" s="515"/>
      <c r="FQY34" s="515"/>
      <c r="FQZ34" s="515"/>
      <c r="FRA34" s="515"/>
      <c r="FRB34" s="515"/>
      <c r="FRC34" s="515"/>
      <c r="FRD34" s="515"/>
      <c r="FRE34" s="514"/>
      <c r="FRF34" s="515"/>
      <c r="FRG34" s="515"/>
      <c r="FRH34" s="515"/>
      <c r="FRI34" s="515"/>
      <c r="FRJ34" s="515"/>
      <c r="FRK34" s="515"/>
      <c r="FRL34" s="515"/>
      <c r="FRM34" s="514"/>
      <c r="FRN34" s="515"/>
      <c r="FRO34" s="515"/>
      <c r="FRP34" s="515"/>
      <c r="FRQ34" s="515"/>
      <c r="FRR34" s="515"/>
      <c r="FRS34" s="515"/>
      <c r="FRT34" s="515"/>
      <c r="FRU34" s="514"/>
      <c r="FRV34" s="515"/>
      <c r="FRW34" s="515"/>
      <c r="FRX34" s="515"/>
      <c r="FRY34" s="515"/>
      <c r="FRZ34" s="515"/>
      <c r="FSA34" s="515"/>
      <c r="FSB34" s="515"/>
      <c r="FSC34" s="514"/>
      <c r="FSD34" s="515"/>
      <c r="FSE34" s="515"/>
      <c r="FSF34" s="515"/>
      <c r="FSG34" s="515"/>
      <c r="FSH34" s="515"/>
      <c r="FSI34" s="515"/>
      <c r="FSJ34" s="515"/>
      <c r="FSK34" s="514"/>
      <c r="FSL34" s="515"/>
      <c r="FSM34" s="515"/>
      <c r="FSN34" s="515"/>
      <c r="FSO34" s="515"/>
      <c r="FSP34" s="515"/>
      <c r="FSQ34" s="515"/>
      <c r="FSR34" s="515"/>
      <c r="FSS34" s="514"/>
      <c r="FST34" s="515"/>
      <c r="FSU34" s="515"/>
      <c r="FSV34" s="515"/>
      <c r="FSW34" s="515"/>
      <c r="FSX34" s="515"/>
      <c r="FSY34" s="515"/>
      <c r="FSZ34" s="515"/>
      <c r="FTA34" s="514"/>
      <c r="FTB34" s="515"/>
      <c r="FTC34" s="515"/>
      <c r="FTD34" s="515"/>
      <c r="FTE34" s="515"/>
      <c r="FTF34" s="515"/>
      <c r="FTG34" s="515"/>
      <c r="FTH34" s="515"/>
      <c r="FTI34" s="514"/>
      <c r="FTJ34" s="515"/>
      <c r="FTK34" s="515"/>
      <c r="FTL34" s="515"/>
      <c r="FTM34" s="515"/>
      <c r="FTN34" s="515"/>
      <c r="FTO34" s="515"/>
      <c r="FTP34" s="515"/>
      <c r="FTQ34" s="514"/>
      <c r="FTR34" s="515"/>
      <c r="FTS34" s="515"/>
      <c r="FTT34" s="515"/>
      <c r="FTU34" s="515"/>
      <c r="FTV34" s="515"/>
      <c r="FTW34" s="515"/>
      <c r="FTX34" s="515"/>
      <c r="FTY34" s="514"/>
      <c r="FTZ34" s="515"/>
      <c r="FUA34" s="515"/>
      <c r="FUB34" s="515"/>
      <c r="FUC34" s="515"/>
      <c r="FUD34" s="515"/>
      <c r="FUE34" s="515"/>
      <c r="FUF34" s="515"/>
      <c r="FUG34" s="514"/>
      <c r="FUH34" s="515"/>
      <c r="FUI34" s="515"/>
      <c r="FUJ34" s="515"/>
      <c r="FUK34" s="515"/>
      <c r="FUL34" s="515"/>
      <c r="FUM34" s="515"/>
      <c r="FUN34" s="515"/>
      <c r="FUO34" s="514"/>
      <c r="FUP34" s="515"/>
      <c r="FUQ34" s="515"/>
      <c r="FUR34" s="515"/>
      <c r="FUS34" s="515"/>
      <c r="FUT34" s="515"/>
      <c r="FUU34" s="515"/>
      <c r="FUV34" s="515"/>
      <c r="FUW34" s="514"/>
      <c r="FUX34" s="515"/>
      <c r="FUY34" s="515"/>
      <c r="FUZ34" s="515"/>
      <c r="FVA34" s="515"/>
      <c r="FVB34" s="515"/>
      <c r="FVC34" s="515"/>
      <c r="FVD34" s="515"/>
      <c r="FVE34" s="514"/>
      <c r="FVF34" s="515"/>
      <c r="FVG34" s="515"/>
      <c r="FVH34" s="515"/>
      <c r="FVI34" s="515"/>
      <c r="FVJ34" s="515"/>
      <c r="FVK34" s="515"/>
      <c r="FVL34" s="515"/>
      <c r="FVM34" s="514"/>
      <c r="FVN34" s="515"/>
      <c r="FVO34" s="515"/>
      <c r="FVP34" s="515"/>
      <c r="FVQ34" s="515"/>
      <c r="FVR34" s="515"/>
      <c r="FVS34" s="515"/>
      <c r="FVT34" s="515"/>
      <c r="FVU34" s="514"/>
      <c r="FVV34" s="515"/>
      <c r="FVW34" s="515"/>
      <c r="FVX34" s="515"/>
      <c r="FVY34" s="515"/>
      <c r="FVZ34" s="515"/>
      <c r="FWA34" s="515"/>
      <c r="FWB34" s="515"/>
      <c r="FWC34" s="514"/>
      <c r="FWD34" s="515"/>
      <c r="FWE34" s="515"/>
      <c r="FWF34" s="515"/>
      <c r="FWG34" s="515"/>
      <c r="FWH34" s="515"/>
      <c r="FWI34" s="515"/>
      <c r="FWJ34" s="515"/>
      <c r="FWK34" s="514"/>
      <c r="FWL34" s="515"/>
      <c r="FWM34" s="515"/>
      <c r="FWN34" s="515"/>
      <c r="FWO34" s="515"/>
      <c r="FWP34" s="515"/>
      <c r="FWQ34" s="515"/>
      <c r="FWR34" s="515"/>
      <c r="FWS34" s="514"/>
      <c r="FWT34" s="515"/>
      <c r="FWU34" s="515"/>
      <c r="FWV34" s="515"/>
      <c r="FWW34" s="515"/>
      <c r="FWX34" s="515"/>
      <c r="FWY34" s="515"/>
      <c r="FWZ34" s="515"/>
      <c r="FXA34" s="514"/>
      <c r="FXB34" s="515"/>
      <c r="FXC34" s="515"/>
      <c r="FXD34" s="515"/>
      <c r="FXE34" s="515"/>
      <c r="FXF34" s="515"/>
      <c r="FXG34" s="515"/>
      <c r="FXH34" s="515"/>
      <c r="FXI34" s="514"/>
      <c r="FXJ34" s="515"/>
      <c r="FXK34" s="515"/>
      <c r="FXL34" s="515"/>
      <c r="FXM34" s="515"/>
      <c r="FXN34" s="515"/>
      <c r="FXO34" s="515"/>
      <c r="FXP34" s="515"/>
      <c r="FXQ34" s="514"/>
      <c r="FXR34" s="515"/>
      <c r="FXS34" s="515"/>
      <c r="FXT34" s="515"/>
      <c r="FXU34" s="515"/>
      <c r="FXV34" s="515"/>
      <c r="FXW34" s="515"/>
      <c r="FXX34" s="515"/>
      <c r="FXY34" s="514"/>
      <c r="FXZ34" s="515"/>
      <c r="FYA34" s="515"/>
      <c r="FYB34" s="515"/>
      <c r="FYC34" s="515"/>
      <c r="FYD34" s="515"/>
      <c r="FYE34" s="515"/>
      <c r="FYF34" s="515"/>
      <c r="FYG34" s="514"/>
      <c r="FYH34" s="515"/>
      <c r="FYI34" s="515"/>
      <c r="FYJ34" s="515"/>
      <c r="FYK34" s="515"/>
      <c r="FYL34" s="515"/>
      <c r="FYM34" s="515"/>
      <c r="FYN34" s="515"/>
      <c r="FYO34" s="514"/>
      <c r="FYP34" s="515"/>
      <c r="FYQ34" s="515"/>
      <c r="FYR34" s="515"/>
      <c r="FYS34" s="515"/>
      <c r="FYT34" s="515"/>
      <c r="FYU34" s="515"/>
      <c r="FYV34" s="515"/>
      <c r="FYW34" s="514"/>
      <c r="FYX34" s="515"/>
      <c r="FYY34" s="515"/>
      <c r="FYZ34" s="515"/>
      <c r="FZA34" s="515"/>
      <c r="FZB34" s="515"/>
      <c r="FZC34" s="515"/>
      <c r="FZD34" s="515"/>
      <c r="FZE34" s="514"/>
      <c r="FZF34" s="515"/>
      <c r="FZG34" s="515"/>
      <c r="FZH34" s="515"/>
      <c r="FZI34" s="515"/>
      <c r="FZJ34" s="515"/>
      <c r="FZK34" s="515"/>
      <c r="FZL34" s="515"/>
      <c r="FZM34" s="514"/>
      <c r="FZN34" s="515"/>
      <c r="FZO34" s="515"/>
      <c r="FZP34" s="515"/>
      <c r="FZQ34" s="515"/>
      <c r="FZR34" s="515"/>
      <c r="FZS34" s="515"/>
      <c r="FZT34" s="515"/>
      <c r="FZU34" s="514"/>
      <c r="FZV34" s="515"/>
      <c r="FZW34" s="515"/>
      <c r="FZX34" s="515"/>
      <c r="FZY34" s="515"/>
      <c r="FZZ34" s="515"/>
      <c r="GAA34" s="515"/>
      <c r="GAB34" s="515"/>
      <c r="GAC34" s="514"/>
      <c r="GAD34" s="515"/>
      <c r="GAE34" s="515"/>
      <c r="GAF34" s="515"/>
      <c r="GAG34" s="515"/>
      <c r="GAH34" s="515"/>
      <c r="GAI34" s="515"/>
      <c r="GAJ34" s="515"/>
      <c r="GAK34" s="514"/>
      <c r="GAL34" s="515"/>
      <c r="GAM34" s="515"/>
      <c r="GAN34" s="515"/>
      <c r="GAO34" s="515"/>
      <c r="GAP34" s="515"/>
      <c r="GAQ34" s="515"/>
      <c r="GAR34" s="515"/>
      <c r="GAS34" s="514"/>
      <c r="GAT34" s="515"/>
      <c r="GAU34" s="515"/>
      <c r="GAV34" s="515"/>
      <c r="GAW34" s="515"/>
      <c r="GAX34" s="515"/>
      <c r="GAY34" s="515"/>
      <c r="GAZ34" s="515"/>
      <c r="GBA34" s="514"/>
      <c r="GBB34" s="515"/>
      <c r="GBC34" s="515"/>
      <c r="GBD34" s="515"/>
      <c r="GBE34" s="515"/>
      <c r="GBF34" s="515"/>
      <c r="GBG34" s="515"/>
      <c r="GBH34" s="515"/>
      <c r="GBI34" s="514"/>
      <c r="GBJ34" s="515"/>
      <c r="GBK34" s="515"/>
      <c r="GBL34" s="515"/>
      <c r="GBM34" s="515"/>
      <c r="GBN34" s="515"/>
      <c r="GBO34" s="515"/>
      <c r="GBP34" s="515"/>
      <c r="GBQ34" s="514"/>
      <c r="GBR34" s="515"/>
      <c r="GBS34" s="515"/>
      <c r="GBT34" s="515"/>
      <c r="GBU34" s="515"/>
      <c r="GBV34" s="515"/>
      <c r="GBW34" s="515"/>
      <c r="GBX34" s="515"/>
      <c r="GBY34" s="514"/>
      <c r="GBZ34" s="515"/>
      <c r="GCA34" s="515"/>
      <c r="GCB34" s="515"/>
      <c r="GCC34" s="515"/>
      <c r="GCD34" s="515"/>
      <c r="GCE34" s="515"/>
      <c r="GCF34" s="515"/>
      <c r="GCG34" s="514"/>
      <c r="GCH34" s="515"/>
      <c r="GCI34" s="515"/>
      <c r="GCJ34" s="515"/>
      <c r="GCK34" s="515"/>
      <c r="GCL34" s="515"/>
      <c r="GCM34" s="515"/>
      <c r="GCN34" s="515"/>
      <c r="GCO34" s="514"/>
      <c r="GCP34" s="515"/>
      <c r="GCQ34" s="515"/>
      <c r="GCR34" s="515"/>
      <c r="GCS34" s="515"/>
      <c r="GCT34" s="515"/>
      <c r="GCU34" s="515"/>
      <c r="GCV34" s="515"/>
      <c r="GCW34" s="514"/>
      <c r="GCX34" s="515"/>
      <c r="GCY34" s="515"/>
      <c r="GCZ34" s="515"/>
      <c r="GDA34" s="515"/>
      <c r="GDB34" s="515"/>
      <c r="GDC34" s="515"/>
      <c r="GDD34" s="515"/>
      <c r="GDE34" s="514"/>
      <c r="GDF34" s="515"/>
      <c r="GDG34" s="515"/>
      <c r="GDH34" s="515"/>
      <c r="GDI34" s="515"/>
      <c r="GDJ34" s="515"/>
      <c r="GDK34" s="515"/>
      <c r="GDL34" s="515"/>
      <c r="GDM34" s="514"/>
      <c r="GDN34" s="515"/>
      <c r="GDO34" s="515"/>
      <c r="GDP34" s="515"/>
      <c r="GDQ34" s="515"/>
      <c r="GDR34" s="515"/>
      <c r="GDS34" s="515"/>
      <c r="GDT34" s="515"/>
      <c r="GDU34" s="514"/>
      <c r="GDV34" s="515"/>
      <c r="GDW34" s="515"/>
      <c r="GDX34" s="515"/>
      <c r="GDY34" s="515"/>
      <c r="GDZ34" s="515"/>
      <c r="GEA34" s="515"/>
      <c r="GEB34" s="515"/>
      <c r="GEC34" s="514"/>
      <c r="GED34" s="515"/>
      <c r="GEE34" s="515"/>
      <c r="GEF34" s="515"/>
      <c r="GEG34" s="515"/>
      <c r="GEH34" s="515"/>
      <c r="GEI34" s="515"/>
      <c r="GEJ34" s="515"/>
      <c r="GEK34" s="514"/>
      <c r="GEL34" s="515"/>
      <c r="GEM34" s="515"/>
      <c r="GEN34" s="515"/>
      <c r="GEO34" s="515"/>
      <c r="GEP34" s="515"/>
      <c r="GEQ34" s="515"/>
      <c r="GER34" s="515"/>
      <c r="GES34" s="514"/>
      <c r="GET34" s="515"/>
      <c r="GEU34" s="515"/>
      <c r="GEV34" s="515"/>
      <c r="GEW34" s="515"/>
      <c r="GEX34" s="515"/>
      <c r="GEY34" s="515"/>
      <c r="GEZ34" s="515"/>
      <c r="GFA34" s="514"/>
      <c r="GFB34" s="515"/>
      <c r="GFC34" s="515"/>
      <c r="GFD34" s="515"/>
      <c r="GFE34" s="515"/>
      <c r="GFF34" s="515"/>
      <c r="GFG34" s="515"/>
      <c r="GFH34" s="515"/>
      <c r="GFI34" s="514"/>
      <c r="GFJ34" s="515"/>
      <c r="GFK34" s="515"/>
      <c r="GFL34" s="515"/>
      <c r="GFM34" s="515"/>
      <c r="GFN34" s="515"/>
      <c r="GFO34" s="515"/>
      <c r="GFP34" s="515"/>
      <c r="GFQ34" s="514"/>
      <c r="GFR34" s="515"/>
      <c r="GFS34" s="515"/>
      <c r="GFT34" s="515"/>
      <c r="GFU34" s="515"/>
      <c r="GFV34" s="515"/>
      <c r="GFW34" s="515"/>
      <c r="GFX34" s="515"/>
      <c r="GFY34" s="514"/>
      <c r="GFZ34" s="515"/>
      <c r="GGA34" s="515"/>
      <c r="GGB34" s="515"/>
      <c r="GGC34" s="515"/>
      <c r="GGD34" s="515"/>
      <c r="GGE34" s="515"/>
      <c r="GGF34" s="515"/>
      <c r="GGG34" s="514"/>
      <c r="GGH34" s="515"/>
      <c r="GGI34" s="515"/>
      <c r="GGJ34" s="515"/>
      <c r="GGK34" s="515"/>
      <c r="GGL34" s="515"/>
      <c r="GGM34" s="515"/>
      <c r="GGN34" s="515"/>
      <c r="GGO34" s="514"/>
      <c r="GGP34" s="515"/>
      <c r="GGQ34" s="515"/>
      <c r="GGR34" s="515"/>
      <c r="GGS34" s="515"/>
      <c r="GGT34" s="515"/>
      <c r="GGU34" s="515"/>
      <c r="GGV34" s="515"/>
      <c r="GGW34" s="514"/>
      <c r="GGX34" s="515"/>
      <c r="GGY34" s="515"/>
      <c r="GGZ34" s="515"/>
      <c r="GHA34" s="515"/>
      <c r="GHB34" s="515"/>
      <c r="GHC34" s="515"/>
      <c r="GHD34" s="515"/>
      <c r="GHE34" s="514"/>
      <c r="GHF34" s="515"/>
      <c r="GHG34" s="515"/>
      <c r="GHH34" s="515"/>
      <c r="GHI34" s="515"/>
      <c r="GHJ34" s="515"/>
      <c r="GHK34" s="515"/>
      <c r="GHL34" s="515"/>
      <c r="GHM34" s="514"/>
      <c r="GHN34" s="515"/>
      <c r="GHO34" s="515"/>
      <c r="GHP34" s="515"/>
      <c r="GHQ34" s="515"/>
      <c r="GHR34" s="515"/>
      <c r="GHS34" s="515"/>
      <c r="GHT34" s="515"/>
      <c r="GHU34" s="514"/>
      <c r="GHV34" s="515"/>
      <c r="GHW34" s="515"/>
      <c r="GHX34" s="515"/>
      <c r="GHY34" s="515"/>
      <c r="GHZ34" s="515"/>
      <c r="GIA34" s="515"/>
      <c r="GIB34" s="515"/>
      <c r="GIC34" s="514"/>
      <c r="GID34" s="515"/>
      <c r="GIE34" s="515"/>
      <c r="GIF34" s="515"/>
      <c r="GIG34" s="515"/>
      <c r="GIH34" s="515"/>
      <c r="GII34" s="515"/>
      <c r="GIJ34" s="515"/>
      <c r="GIK34" s="514"/>
      <c r="GIL34" s="515"/>
      <c r="GIM34" s="515"/>
      <c r="GIN34" s="515"/>
      <c r="GIO34" s="515"/>
      <c r="GIP34" s="515"/>
      <c r="GIQ34" s="515"/>
      <c r="GIR34" s="515"/>
      <c r="GIS34" s="514"/>
      <c r="GIT34" s="515"/>
      <c r="GIU34" s="515"/>
      <c r="GIV34" s="515"/>
      <c r="GIW34" s="515"/>
      <c r="GIX34" s="515"/>
      <c r="GIY34" s="515"/>
      <c r="GIZ34" s="515"/>
      <c r="GJA34" s="514"/>
      <c r="GJB34" s="515"/>
      <c r="GJC34" s="515"/>
      <c r="GJD34" s="515"/>
      <c r="GJE34" s="515"/>
      <c r="GJF34" s="515"/>
      <c r="GJG34" s="515"/>
      <c r="GJH34" s="515"/>
      <c r="GJI34" s="514"/>
      <c r="GJJ34" s="515"/>
      <c r="GJK34" s="515"/>
      <c r="GJL34" s="515"/>
      <c r="GJM34" s="515"/>
      <c r="GJN34" s="515"/>
      <c r="GJO34" s="515"/>
      <c r="GJP34" s="515"/>
      <c r="GJQ34" s="514"/>
      <c r="GJR34" s="515"/>
      <c r="GJS34" s="515"/>
      <c r="GJT34" s="515"/>
      <c r="GJU34" s="515"/>
      <c r="GJV34" s="515"/>
      <c r="GJW34" s="515"/>
      <c r="GJX34" s="515"/>
      <c r="GJY34" s="514"/>
      <c r="GJZ34" s="515"/>
      <c r="GKA34" s="515"/>
      <c r="GKB34" s="515"/>
      <c r="GKC34" s="515"/>
      <c r="GKD34" s="515"/>
      <c r="GKE34" s="515"/>
      <c r="GKF34" s="515"/>
      <c r="GKG34" s="514"/>
      <c r="GKH34" s="515"/>
      <c r="GKI34" s="515"/>
      <c r="GKJ34" s="515"/>
      <c r="GKK34" s="515"/>
      <c r="GKL34" s="515"/>
      <c r="GKM34" s="515"/>
      <c r="GKN34" s="515"/>
      <c r="GKO34" s="514"/>
      <c r="GKP34" s="515"/>
      <c r="GKQ34" s="515"/>
      <c r="GKR34" s="515"/>
      <c r="GKS34" s="515"/>
      <c r="GKT34" s="515"/>
      <c r="GKU34" s="515"/>
      <c r="GKV34" s="515"/>
      <c r="GKW34" s="514"/>
      <c r="GKX34" s="515"/>
      <c r="GKY34" s="515"/>
      <c r="GKZ34" s="515"/>
      <c r="GLA34" s="515"/>
      <c r="GLB34" s="515"/>
      <c r="GLC34" s="515"/>
      <c r="GLD34" s="515"/>
      <c r="GLE34" s="514"/>
      <c r="GLF34" s="515"/>
      <c r="GLG34" s="515"/>
      <c r="GLH34" s="515"/>
      <c r="GLI34" s="515"/>
      <c r="GLJ34" s="515"/>
      <c r="GLK34" s="515"/>
      <c r="GLL34" s="515"/>
      <c r="GLM34" s="514"/>
      <c r="GLN34" s="515"/>
      <c r="GLO34" s="515"/>
      <c r="GLP34" s="515"/>
      <c r="GLQ34" s="515"/>
      <c r="GLR34" s="515"/>
      <c r="GLS34" s="515"/>
      <c r="GLT34" s="515"/>
      <c r="GLU34" s="514"/>
      <c r="GLV34" s="515"/>
      <c r="GLW34" s="515"/>
      <c r="GLX34" s="515"/>
      <c r="GLY34" s="515"/>
      <c r="GLZ34" s="515"/>
      <c r="GMA34" s="515"/>
      <c r="GMB34" s="515"/>
      <c r="GMC34" s="514"/>
      <c r="GMD34" s="515"/>
      <c r="GME34" s="515"/>
      <c r="GMF34" s="515"/>
      <c r="GMG34" s="515"/>
      <c r="GMH34" s="515"/>
      <c r="GMI34" s="515"/>
      <c r="GMJ34" s="515"/>
      <c r="GMK34" s="514"/>
      <c r="GML34" s="515"/>
      <c r="GMM34" s="515"/>
      <c r="GMN34" s="515"/>
      <c r="GMO34" s="515"/>
      <c r="GMP34" s="515"/>
      <c r="GMQ34" s="515"/>
      <c r="GMR34" s="515"/>
      <c r="GMS34" s="514"/>
      <c r="GMT34" s="515"/>
      <c r="GMU34" s="515"/>
      <c r="GMV34" s="515"/>
      <c r="GMW34" s="515"/>
      <c r="GMX34" s="515"/>
      <c r="GMY34" s="515"/>
      <c r="GMZ34" s="515"/>
      <c r="GNA34" s="514"/>
      <c r="GNB34" s="515"/>
      <c r="GNC34" s="515"/>
      <c r="GND34" s="515"/>
      <c r="GNE34" s="515"/>
      <c r="GNF34" s="515"/>
      <c r="GNG34" s="515"/>
      <c r="GNH34" s="515"/>
      <c r="GNI34" s="514"/>
      <c r="GNJ34" s="515"/>
      <c r="GNK34" s="515"/>
      <c r="GNL34" s="515"/>
      <c r="GNM34" s="515"/>
      <c r="GNN34" s="515"/>
      <c r="GNO34" s="515"/>
      <c r="GNP34" s="515"/>
      <c r="GNQ34" s="514"/>
      <c r="GNR34" s="515"/>
      <c r="GNS34" s="515"/>
      <c r="GNT34" s="515"/>
      <c r="GNU34" s="515"/>
      <c r="GNV34" s="515"/>
      <c r="GNW34" s="515"/>
      <c r="GNX34" s="515"/>
      <c r="GNY34" s="514"/>
      <c r="GNZ34" s="515"/>
      <c r="GOA34" s="515"/>
      <c r="GOB34" s="515"/>
      <c r="GOC34" s="515"/>
      <c r="GOD34" s="515"/>
      <c r="GOE34" s="515"/>
      <c r="GOF34" s="515"/>
      <c r="GOG34" s="514"/>
      <c r="GOH34" s="515"/>
      <c r="GOI34" s="515"/>
      <c r="GOJ34" s="515"/>
      <c r="GOK34" s="515"/>
      <c r="GOL34" s="515"/>
      <c r="GOM34" s="515"/>
      <c r="GON34" s="515"/>
      <c r="GOO34" s="514"/>
      <c r="GOP34" s="515"/>
      <c r="GOQ34" s="515"/>
      <c r="GOR34" s="515"/>
      <c r="GOS34" s="515"/>
      <c r="GOT34" s="515"/>
      <c r="GOU34" s="515"/>
      <c r="GOV34" s="515"/>
      <c r="GOW34" s="514"/>
      <c r="GOX34" s="515"/>
      <c r="GOY34" s="515"/>
      <c r="GOZ34" s="515"/>
      <c r="GPA34" s="515"/>
      <c r="GPB34" s="515"/>
      <c r="GPC34" s="515"/>
      <c r="GPD34" s="515"/>
      <c r="GPE34" s="514"/>
      <c r="GPF34" s="515"/>
      <c r="GPG34" s="515"/>
      <c r="GPH34" s="515"/>
      <c r="GPI34" s="515"/>
      <c r="GPJ34" s="515"/>
      <c r="GPK34" s="515"/>
      <c r="GPL34" s="515"/>
      <c r="GPM34" s="514"/>
      <c r="GPN34" s="515"/>
      <c r="GPO34" s="515"/>
      <c r="GPP34" s="515"/>
      <c r="GPQ34" s="515"/>
      <c r="GPR34" s="515"/>
      <c r="GPS34" s="515"/>
      <c r="GPT34" s="515"/>
      <c r="GPU34" s="514"/>
      <c r="GPV34" s="515"/>
      <c r="GPW34" s="515"/>
      <c r="GPX34" s="515"/>
      <c r="GPY34" s="515"/>
      <c r="GPZ34" s="515"/>
      <c r="GQA34" s="515"/>
      <c r="GQB34" s="515"/>
      <c r="GQC34" s="514"/>
      <c r="GQD34" s="515"/>
      <c r="GQE34" s="515"/>
      <c r="GQF34" s="515"/>
      <c r="GQG34" s="515"/>
      <c r="GQH34" s="515"/>
      <c r="GQI34" s="515"/>
      <c r="GQJ34" s="515"/>
      <c r="GQK34" s="514"/>
      <c r="GQL34" s="515"/>
      <c r="GQM34" s="515"/>
      <c r="GQN34" s="515"/>
      <c r="GQO34" s="515"/>
      <c r="GQP34" s="515"/>
      <c r="GQQ34" s="515"/>
      <c r="GQR34" s="515"/>
      <c r="GQS34" s="514"/>
      <c r="GQT34" s="515"/>
      <c r="GQU34" s="515"/>
      <c r="GQV34" s="515"/>
      <c r="GQW34" s="515"/>
      <c r="GQX34" s="515"/>
      <c r="GQY34" s="515"/>
      <c r="GQZ34" s="515"/>
      <c r="GRA34" s="514"/>
      <c r="GRB34" s="515"/>
      <c r="GRC34" s="515"/>
      <c r="GRD34" s="515"/>
      <c r="GRE34" s="515"/>
      <c r="GRF34" s="515"/>
      <c r="GRG34" s="515"/>
      <c r="GRH34" s="515"/>
      <c r="GRI34" s="514"/>
      <c r="GRJ34" s="515"/>
      <c r="GRK34" s="515"/>
      <c r="GRL34" s="515"/>
      <c r="GRM34" s="515"/>
      <c r="GRN34" s="515"/>
      <c r="GRO34" s="515"/>
      <c r="GRP34" s="515"/>
      <c r="GRQ34" s="514"/>
      <c r="GRR34" s="515"/>
      <c r="GRS34" s="515"/>
      <c r="GRT34" s="515"/>
      <c r="GRU34" s="515"/>
      <c r="GRV34" s="515"/>
      <c r="GRW34" s="515"/>
      <c r="GRX34" s="515"/>
      <c r="GRY34" s="514"/>
      <c r="GRZ34" s="515"/>
      <c r="GSA34" s="515"/>
      <c r="GSB34" s="515"/>
      <c r="GSC34" s="515"/>
      <c r="GSD34" s="515"/>
      <c r="GSE34" s="515"/>
      <c r="GSF34" s="515"/>
      <c r="GSG34" s="514"/>
      <c r="GSH34" s="515"/>
      <c r="GSI34" s="515"/>
      <c r="GSJ34" s="515"/>
      <c r="GSK34" s="515"/>
      <c r="GSL34" s="515"/>
      <c r="GSM34" s="515"/>
      <c r="GSN34" s="515"/>
      <c r="GSO34" s="514"/>
      <c r="GSP34" s="515"/>
      <c r="GSQ34" s="515"/>
      <c r="GSR34" s="515"/>
      <c r="GSS34" s="515"/>
      <c r="GST34" s="515"/>
      <c r="GSU34" s="515"/>
      <c r="GSV34" s="515"/>
      <c r="GSW34" s="514"/>
      <c r="GSX34" s="515"/>
      <c r="GSY34" s="515"/>
      <c r="GSZ34" s="515"/>
      <c r="GTA34" s="515"/>
      <c r="GTB34" s="515"/>
      <c r="GTC34" s="515"/>
      <c r="GTD34" s="515"/>
      <c r="GTE34" s="514"/>
      <c r="GTF34" s="515"/>
      <c r="GTG34" s="515"/>
      <c r="GTH34" s="515"/>
      <c r="GTI34" s="515"/>
      <c r="GTJ34" s="515"/>
      <c r="GTK34" s="515"/>
      <c r="GTL34" s="515"/>
      <c r="GTM34" s="514"/>
      <c r="GTN34" s="515"/>
      <c r="GTO34" s="515"/>
      <c r="GTP34" s="515"/>
      <c r="GTQ34" s="515"/>
      <c r="GTR34" s="515"/>
      <c r="GTS34" s="515"/>
      <c r="GTT34" s="515"/>
      <c r="GTU34" s="514"/>
      <c r="GTV34" s="515"/>
      <c r="GTW34" s="515"/>
      <c r="GTX34" s="515"/>
      <c r="GTY34" s="515"/>
      <c r="GTZ34" s="515"/>
      <c r="GUA34" s="515"/>
      <c r="GUB34" s="515"/>
      <c r="GUC34" s="514"/>
      <c r="GUD34" s="515"/>
      <c r="GUE34" s="515"/>
      <c r="GUF34" s="515"/>
      <c r="GUG34" s="515"/>
      <c r="GUH34" s="515"/>
      <c r="GUI34" s="515"/>
      <c r="GUJ34" s="515"/>
      <c r="GUK34" s="514"/>
      <c r="GUL34" s="515"/>
      <c r="GUM34" s="515"/>
      <c r="GUN34" s="515"/>
      <c r="GUO34" s="515"/>
      <c r="GUP34" s="515"/>
      <c r="GUQ34" s="515"/>
      <c r="GUR34" s="515"/>
      <c r="GUS34" s="514"/>
      <c r="GUT34" s="515"/>
      <c r="GUU34" s="515"/>
      <c r="GUV34" s="515"/>
      <c r="GUW34" s="515"/>
      <c r="GUX34" s="515"/>
      <c r="GUY34" s="515"/>
      <c r="GUZ34" s="515"/>
      <c r="GVA34" s="514"/>
      <c r="GVB34" s="515"/>
      <c r="GVC34" s="515"/>
      <c r="GVD34" s="515"/>
      <c r="GVE34" s="515"/>
      <c r="GVF34" s="515"/>
      <c r="GVG34" s="515"/>
      <c r="GVH34" s="515"/>
      <c r="GVI34" s="514"/>
      <c r="GVJ34" s="515"/>
      <c r="GVK34" s="515"/>
      <c r="GVL34" s="515"/>
      <c r="GVM34" s="515"/>
      <c r="GVN34" s="515"/>
      <c r="GVO34" s="515"/>
      <c r="GVP34" s="515"/>
      <c r="GVQ34" s="514"/>
      <c r="GVR34" s="515"/>
      <c r="GVS34" s="515"/>
      <c r="GVT34" s="515"/>
      <c r="GVU34" s="515"/>
      <c r="GVV34" s="515"/>
      <c r="GVW34" s="515"/>
      <c r="GVX34" s="515"/>
      <c r="GVY34" s="514"/>
      <c r="GVZ34" s="515"/>
      <c r="GWA34" s="515"/>
      <c r="GWB34" s="515"/>
      <c r="GWC34" s="515"/>
      <c r="GWD34" s="515"/>
      <c r="GWE34" s="515"/>
      <c r="GWF34" s="515"/>
      <c r="GWG34" s="514"/>
      <c r="GWH34" s="515"/>
      <c r="GWI34" s="515"/>
      <c r="GWJ34" s="515"/>
      <c r="GWK34" s="515"/>
      <c r="GWL34" s="515"/>
      <c r="GWM34" s="515"/>
      <c r="GWN34" s="515"/>
      <c r="GWO34" s="514"/>
      <c r="GWP34" s="515"/>
      <c r="GWQ34" s="515"/>
      <c r="GWR34" s="515"/>
      <c r="GWS34" s="515"/>
      <c r="GWT34" s="515"/>
      <c r="GWU34" s="515"/>
      <c r="GWV34" s="515"/>
      <c r="GWW34" s="514"/>
      <c r="GWX34" s="515"/>
      <c r="GWY34" s="515"/>
      <c r="GWZ34" s="515"/>
      <c r="GXA34" s="515"/>
      <c r="GXB34" s="515"/>
      <c r="GXC34" s="515"/>
      <c r="GXD34" s="515"/>
      <c r="GXE34" s="514"/>
      <c r="GXF34" s="515"/>
      <c r="GXG34" s="515"/>
      <c r="GXH34" s="515"/>
      <c r="GXI34" s="515"/>
      <c r="GXJ34" s="515"/>
      <c r="GXK34" s="515"/>
      <c r="GXL34" s="515"/>
      <c r="GXM34" s="514"/>
      <c r="GXN34" s="515"/>
      <c r="GXO34" s="515"/>
      <c r="GXP34" s="515"/>
      <c r="GXQ34" s="515"/>
      <c r="GXR34" s="515"/>
      <c r="GXS34" s="515"/>
      <c r="GXT34" s="515"/>
      <c r="GXU34" s="514"/>
      <c r="GXV34" s="515"/>
      <c r="GXW34" s="515"/>
      <c r="GXX34" s="515"/>
      <c r="GXY34" s="515"/>
      <c r="GXZ34" s="515"/>
      <c r="GYA34" s="515"/>
      <c r="GYB34" s="515"/>
      <c r="GYC34" s="514"/>
      <c r="GYD34" s="515"/>
      <c r="GYE34" s="515"/>
      <c r="GYF34" s="515"/>
      <c r="GYG34" s="515"/>
      <c r="GYH34" s="515"/>
      <c r="GYI34" s="515"/>
      <c r="GYJ34" s="515"/>
      <c r="GYK34" s="514"/>
      <c r="GYL34" s="515"/>
      <c r="GYM34" s="515"/>
      <c r="GYN34" s="515"/>
      <c r="GYO34" s="515"/>
      <c r="GYP34" s="515"/>
      <c r="GYQ34" s="515"/>
      <c r="GYR34" s="515"/>
      <c r="GYS34" s="514"/>
      <c r="GYT34" s="515"/>
      <c r="GYU34" s="515"/>
      <c r="GYV34" s="515"/>
      <c r="GYW34" s="515"/>
      <c r="GYX34" s="515"/>
      <c r="GYY34" s="515"/>
      <c r="GYZ34" s="515"/>
      <c r="GZA34" s="514"/>
      <c r="GZB34" s="515"/>
      <c r="GZC34" s="515"/>
      <c r="GZD34" s="515"/>
      <c r="GZE34" s="515"/>
      <c r="GZF34" s="515"/>
      <c r="GZG34" s="515"/>
      <c r="GZH34" s="515"/>
      <c r="GZI34" s="514"/>
      <c r="GZJ34" s="515"/>
      <c r="GZK34" s="515"/>
      <c r="GZL34" s="515"/>
      <c r="GZM34" s="515"/>
      <c r="GZN34" s="515"/>
      <c r="GZO34" s="515"/>
      <c r="GZP34" s="515"/>
      <c r="GZQ34" s="514"/>
      <c r="GZR34" s="515"/>
      <c r="GZS34" s="515"/>
      <c r="GZT34" s="515"/>
      <c r="GZU34" s="515"/>
      <c r="GZV34" s="515"/>
      <c r="GZW34" s="515"/>
      <c r="GZX34" s="515"/>
      <c r="GZY34" s="514"/>
      <c r="GZZ34" s="515"/>
      <c r="HAA34" s="515"/>
      <c r="HAB34" s="515"/>
      <c r="HAC34" s="515"/>
      <c r="HAD34" s="515"/>
      <c r="HAE34" s="515"/>
      <c r="HAF34" s="515"/>
      <c r="HAG34" s="514"/>
      <c r="HAH34" s="515"/>
      <c r="HAI34" s="515"/>
      <c r="HAJ34" s="515"/>
      <c r="HAK34" s="515"/>
      <c r="HAL34" s="515"/>
      <c r="HAM34" s="515"/>
      <c r="HAN34" s="515"/>
      <c r="HAO34" s="514"/>
      <c r="HAP34" s="515"/>
      <c r="HAQ34" s="515"/>
      <c r="HAR34" s="515"/>
      <c r="HAS34" s="515"/>
      <c r="HAT34" s="515"/>
      <c r="HAU34" s="515"/>
      <c r="HAV34" s="515"/>
      <c r="HAW34" s="514"/>
      <c r="HAX34" s="515"/>
      <c r="HAY34" s="515"/>
      <c r="HAZ34" s="515"/>
      <c r="HBA34" s="515"/>
      <c r="HBB34" s="515"/>
      <c r="HBC34" s="515"/>
      <c r="HBD34" s="515"/>
      <c r="HBE34" s="514"/>
      <c r="HBF34" s="515"/>
      <c r="HBG34" s="515"/>
      <c r="HBH34" s="515"/>
      <c r="HBI34" s="515"/>
      <c r="HBJ34" s="515"/>
      <c r="HBK34" s="515"/>
      <c r="HBL34" s="515"/>
      <c r="HBM34" s="514"/>
      <c r="HBN34" s="515"/>
      <c r="HBO34" s="515"/>
      <c r="HBP34" s="515"/>
      <c r="HBQ34" s="515"/>
      <c r="HBR34" s="515"/>
      <c r="HBS34" s="515"/>
      <c r="HBT34" s="515"/>
      <c r="HBU34" s="514"/>
      <c r="HBV34" s="515"/>
      <c r="HBW34" s="515"/>
      <c r="HBX34" s="515"/>
      <c r="HBY34" s="515"/>
      <c r="HBZ34" s="515"/>
      <c r="HCA34" s="515"/>
      <c r="HCB34" s="515"/>
      <c r="HCC34" s="514"/>
      <c r="HCD34" s="515"/>
      <c r="HCE34" s="515"/>
      <c r="HCF34" s="515"/>
      <c r="HCG34" s="515"/>
      <c r="HCH34" s="515"/>
      <c r="HCI34" s="515"/>
      <c r="HCJ34" s="515"/>
      <c r="HCK34" s="514"/>
      <c r="HCL34" s="515"/>
      <c r="HCM34" s="515"/>
      <c r="HCN34" s="515"/>
      <c r="HCO34" s="515"/>
      <c r="HCP34" s="515"/>
      <c r="HCQ34" s="515"/>
      <c r="HCR34" s="515"/>
      <c r="HCS34" s="514"/>
      <c r="HCT34" s="515"/>
      <c r="HCU34" s="515"/>
      <c r="HCV34" s="515"/>
      <c r="HCW34" s="515"/>
      <c r="HCX34" s="515"/>
      <c r="HCY34" s="515"/>
      <c r="HCZ34" s="515"/>
      <c r="HDA34" s="514"/>
      <c r="HDB34" s="515"/>
      <c r="HDC34" s="515"/>
      <c r="HDD34" s="515"/>
      <c r="HDE34" s="515"/>
      <c r="HDF34" s="515"/>
      <c r="HDG34" s="515"/>
      <c r="HDH34" s="515"/>
      <c r="HDI34" s="514"/>
      <c r="HDJ34" s="515"/>
      <c r="HDK34" s="515"/>
      <c r="HDL34" s="515"/>
      <c r="HDM34" s="515"/>
      <c r="HDN34" s="515"/>
      <c r="HDO34" s="515"/>
      <c r="HDP34" s="515"/>
      <c r="HDQ34" s="514"/>
      <c r="HDR34" s="515"/>
      <c r="HDS34" s="515"/>
      <c r="HDT34" s="515"/>
      <c r="HDU34" s="515"/>
      <c r="HDV34" s="515"/>
      <c r="HDW34" s="515"/>
      <c r="HDX34" s="515"/>
      <c r="HDY34" s="514"/>
      <c r="HDZ34" s="515"/>
      <c r="HEA34" s="515"/>
      <c r="HEB34" s="515"/>
      <c r="HEC34" s="515"/>
      <c r="HED34" s="515"/>
      <c r="HEE34" s="515"/>
      <c r="HEF34" s="515"/>
      <c r="HEG34" s="514"/>
      <c r="HEH34" s="515"/>
      <c r="HEI34" s="515"/>
      <c r="HEJ34" s="515"/>
      <c r="HEK34" s="515"/>
      <c r="HEL34" s="515"/>
      <c r="HEM34" s="515"/>
      <c r="HEN34" s="515"/>
      <c r="HEO34" s="514"/>
      <c r="HEP34" s="515"/>
      <c r="HEQ34" s="515"/>
      <c r="HER34" s="515"/>
      <c r="HES34" s="515"/>
      <c r="HET34" s="515"/>
      <c r="HEU34" s="515"/>
      <c r="HEV34" s="515"/>
      <c r="HEW34" s="514"/>
      <c r="HEX34" s="515"/>
      <c r="HEY34" s="515"/>
      <c r="HEZ34" s="515"/>
      <c r="HFA34" s="515"/>
      <c r="HFB34" s="515"/>
      <c r="HFC34" s="515"/>
      <c r="HFD34" s="515"/>
      <c r="HFE34" s="514"/>
      <c r="HFF34" s="515"/>
      <c r="HFG34" s="515"/>
      <c r="HFH34" s="515"/>
      <c r="HFI34" s="515"/>
      <c r="HFJ34" s="515"/>
      <c r="HFK34" s="515"/>
      <c r="HFL34" s="515"/>
      <c r="HFM34" s="514"/>
      <c r="HFN34" s="515"/>
      <c r="HFO34" s="515"/>
      <c r="HFP34" s="515"/>
      <c r="HFQ34" s="515"/>
      <c r="HFR34" s="515"/>
      <c r="HFS34" s="515"/>
      <c r="HFT34" s="515"/>
      <c r="HFU34" s="514"/>
      <c r="HFV34" s="515"/>
      <c r="HFW34" s="515"/>
      <c r="HFX34" s="515"/>
      <c r="HFY34" s="515"/>
      <c r="HFZ34" s="515"/>
      <c r="HGA34" s="515"/>
      <c r="HGB34" s="515"/>
      <c r="HGC34" s="514"/>
      <c r="HGD34" s="515"/>
      <c r="HGE34" s="515"/>
      <c r="HGF34" s="515"/>
      <c r="HGG34" s="515"/>
      <c r="HGH34" s="515"/>
      <c r="HGI34" s="515"/>
      <c r="HGJ34" s="515"/>
      <c r="HGK34" s="514"/>
      <c r="HGL34" s="515"/>
      <c r="HGM34" s="515"/>
      <c r="HGN34" s="515"/>
      <c r="HGO34" s="515"/>
      <c r="HGP34" s="515"/>
      <c r="HGQ34" s="515"/>
      <c r="HGR34" s="515"/>
      <c r="HGS34" s="514"/>
      <c r="HGT34" s="515"/>
      <c r="HGU34" s="515"/>
      <c r="HGV34" s="515"/>
      <c r="HGW34" s="515"/>
      <c r="HGX34" s="515"/>
      <c r="HGY34" s="515"/>
      <c r="HGZ34" s="515"/>
      <c r="HHA34" s="514"/>
      <c r="HHB34" s="515"/>
      <c r="HHC34" s="515"/>
      <c r="HHD34" s="515"/>
      <c r="HHE34" s="515"/>
      <c r="HHF34" s="515"/>
      <c r="HHG34" s="515"/>
      <c r="HHH34" s="515"/>
      <c r="HHI34" s="514"/>
      <c r="HHJ34" s="515"/>
      <c r="HHK34" s="515"/>
      <c r="HHL34" s="515"/>
      <c r="HHM34" s="515"/>
      <c r="HHN34" s="515"/>
      <c r="HHO34" s="515"/>
      <c r="HHP34" s="515"/>
      <c r="HHQ34" s="514"/>
      <c r="HHR34" s="515"/>
      <c r="HHS34" s="515"/>
      <c r="HHT34" s="515"/>
      <c r="HHU34" s="515"/>
      <c r="HHV34" s="515"/>
      <c r="HHW34" s="515"/>
      <c r="HHX34" s="515"/>
      <c r="HHY34" s="514"/>
      <c r="HHZ34" s="515"/>
      <c r="HIA34" s="515"/>
      <c r="HIB34" s="515"/>
      <c r="HIC34" s="515"/>
      <c r="HID34" s="515"/>
      <c r="HIE34" s="515"/>
      <c r="HIF34" s="515"/>
      <c r="HIG34" s="514"/>
      <c r="HIH34" s="515"/>
      <c r="HII34" s="515"/>
      <c r="HIJ34" s="515"/>
      <c r="HIK34" s="515"/>
      <c r="HIL34" s="515"/>
      <c r="HIM34" s="515"/>
      <c r="HIN34" s="515"/>
      <c r="HIO34" s="514"/>
      <c r="HIP34" s="515"/>
      <c r="HIQ34" s="515"/>
      <c r="HIR34" s="515"/>
      <c r="HIS34" s="515"/>
      <c r="HIT34" s="515"/>
      <c r="HIU34" s="515"/>
      <c r="HIV34" s="515"/>
      <c r="HIW34" s="514"/>
      <c r="HIX34" s="515"/>
      <c r="HIY34" s="515"/>
      <c r="HIZ34" s="515"/>
      <c r="HJA34" s="515"/>
      <c r="HJB34" s="515"/>
      <c r="HJC34" s="515"/>
      <c r="HJD34" s="515"/>
      <c r="HJE34" s="514"/>
      <c r="HJF34" s="515"/>
      <c r="HJG34" s="515"/>
      <c r="HJH34" s="515"/>
      <c r="HJI34" s="515"/>
      <c r="HJJ34" s="515"/>
      <c r="HJK34" s="515"/>
      <c r="HJL34" s="515"/>
      <c r="HJM34" s="514"/>
      <c r="HJN34" s="515"/>
      <c r="HJO34" s="515"/>
      <c r="HJP34" s="515"/>
      <c r="HJQ34" s="515"/>
      <c r="HJR34" s="515"/>
      <c r="HJS34" s="515"/>
      <c r="HJT34" s="515"/>
      <c r="HJU34" s="514"/>
      <c r="HJV34" s="515"/>
      <c r="HJW34" s="515"/>
      <c r="HJX34" s="515"/>
      <c r="HJY34" s="515"/>
      <c r="HJZ34" s="515"/>
      <c r="HKA34" s="515"/>
      <c r="HKB34" s="515"/>
      <c r="HKC34" s="514"/>
      <c r="HKD34" s="515"/>
      <c r="HKE34" s="515"/>
      <c r="HKF34" s="515"/>
      <c r="HKG34" s="515"/>
      <c r="HKH34" s="515"/>
      <c r="HKI34" s="515"/>
      <c r="HKJ34" s="515"/>
      <c r="HKK34" s="514"/>
      <c r="HKL34" s="515"/>
      <c r="HKM34" s="515"/>
      <c r="HKN34" s="515"/>
      <c r="HKO34" s="515"/>
      <c r="HKP34" s="515"/>
      <c r="HKQ34" s="515"/>
      <c r="HKR34" s="515"/>
      <c r="HKS34" s="514"/>
      <c r="HKT34" s="515"/>
      <c r="HKU34" s="515"/>
      <c r="HKV34" s="515"/>
      <c r="HKW34" s="515"/>
      <c r="HKX34" s="515"/>
      <c r="HKY34" s="515"/>
      <c r="HKZ34" s="515"/>
      <c r="HLA34" s="514"/>
      <c r="HLB34" s="515"/>
      <c r="HLC34" s="515"/>
      <c r="HLD34" s="515"/>
      <c r="HLE34" s="515"/>
      <c r="HLF34" s="515"/>
      <c r="HLG34" s="515"/>
      <c r="HLH34" s="515"/>
      <c r="HLI34" s="514"/>
      <c r="HLJ34" s="515"/>
      <c r="HLK34" s="515"/>
      <c r="HLL34" s="515"/>
      <c r="HLM34" s="515"/>
      <c r="HLN34" s="515"/>
      <c r="HLO34" s="515"/>
      <c r="HLP34" s="515"/>
      <c r="HLQ34" s="514"/>
      <c r="HLR34" s="515"/>
      <c r="HLS34" s="515"/>
      <c r="HLT34" s="515"/>
      <c r="HLU34" s="515"/>
      <c r="HLV34" s="515"/>
      <c r="HLW34" s="515"/>
      <c r="HLX34" s="515"/>
      <c r="HLY34" s="514"/>
      <c r="HLZ34" s="515"/>
      <c r="HMA34" s="515"/>
      <c r="HMB34" s="515"/>
      <c r="HMC34" s="515"/>
      <c r="HMD34" s="515"/>
      <c r="HME34" s="515"/>
      <c r="HMF34" s="515"/>
      <c r="HMG34" s="514"/>
      <c r="HMH34" s="515"/>
      <c r="HMI34" s="515"/>
      <c r="HMJ34" s="515"/>
      <c r="HMK34" s="515"/>
      <c r="HML34" s="515"/>
      <c r="HMM34" s="515"/>
      <c r="HMN34" s="515"/>
      <c r="HMO34" s="514"/>
      <c r="HMP34" s="515"/>
      <c r="HMQ34" s="515"/>
      <c r="HMR34" s="515"/>
      <c r="HMS34" s="515"/>
      <c r="HMT34" s="515"/>
      <c r="HMU34" s="515"/>
      <c r="HMV34" s="515"/>
      <c r="HMW34" s="514"/>
      <c r="HMX34" s="515"/>
      <c r="HMY34" s="515"/>
      <c r="HMZ34" s="515"/>
      <c r="HNA34" s="515"/>
      <c r="HNB34" s="515"/>
      <c r="HNC34" s="515"/>
      <c r="HND34" s="515"/>
      <c r="HNE34" s="514"/>
      <c r="HNF34" s="515"/>
      <c r="HNG34" s="515"/>
      <c r="HNH34" s="515"/>
      <c r="HNI34" s="515"/>
      <c r="HNJ34" s="515"/>
      <c r="HNK34" s="515"/>
      <c r="HNL34" s="515"/>
      <c r="HNM34" s="514"/>
      <c r="HNN34" s="515"/>
      <c r="HNO34" s="515"/>
      <c r="HNP34" s="515"/>
      <c r="HNQ34" s="515"/>
      <c r="HNR34" s="515"/>
      <c r="HNS34" s="515"/>
      <c r="HNT34" s="515"/>
      <c r="HNU34" s="514"/>
      <c r="HNV34" s="515"/>
      <c r="HNW34" s="515"/>
      <c r="HNX34" s="515"/>
      <c r="HNY34" s="515"/>
      <c r="HNZ34" s="515"/>
      <c r="HOA34" s="515"/>
      <c r="HOB34" s="515"/>
      <c r="HOC34" s="514"/>
      <c r="HOD34" s="515"/>
      <c r="HOE34" s="515"/>
      <c r="HOF34" s="515"/>
      <c r="HOG34" s="515"/>
      <c r="HOH34" s="515"/>
      <c r="HOI34" s="515"/>
      <c r="HOJ34" s="515"/>
      <c r="HOK34" s="514"/>
      <c r="HOL34" s="515"/>
      <c r="HOM34" s="515"/>
      <c r="HON34" s="515"/>
      <c r="HOO34" s="515"/>
      <c r="HOP34" s="515"/>
      <c r="HOQ34" s="515"/>
      <c r="HOR34" s="515"/>
      <c r="HOS34" s="514"/>
      <c r="HOT34" s="515"/>
      <c r="HOU34" s="515"/>
      <c r="HOV34" s="515"/>
      <c r="HOW34" s="515"/>
      <c r="HOX34" s="515"/>
      <c r="HOY34" s="515"/>
      <c r="HOZ34" s="515"/>
      <c r="HPA34" s="514"/>
      <c r="HPB34" s="515"/>
      <c r="HPC34" s="515"/>
      <c r="HPD34" s="515"/>
      <c r="HPE34" s="515"/>
      <c r="HPF34" s="515"/>
      <c r="HPG34" s="515"/>
      <c r="HPH34" s="515"/>
      <c r="HPI34" s="514"/>
      <c r="HPJ34" s="515"/>
      <c r="HPK34" s="515"/>
      <c r="HPL34" s="515"/>
      <c r="HPM34" s="515"/>
      <c r="HPN34" s="515"/>
      <c r="HPO34" s="515"/>
      <c r="HPP34" s="515"/>
      <c r="HPQ34" s="514"/>
      <c r="HPR34" s="515"/>
      <c r="HPS34" s="515"/>
      <c r="HPT34" s="515"/>
      <c r="HPU34" s="515"/>
      <c r="HPV34" s="515"/>
      <c r="HPW34" s="515"/>
      <c r="HPX34" s="515"/>
      <c r="HPY34" s="514"/>
      <c r="HPZ34" s="515"/>
      <c r="HQA34" s="515"/>
      <c r="HQB34" s="515"/>
      <c r="HQC34" s="515"/>
      <c r="HQD34" s="515"/>
      <c r="HQE34" s="515"/>
      <c r="HQF34" s="515"/>
      <c r="HQG34" s="514"/>
      <c r="HQH34" s="515"/>
      <c r="HQI34" s="515"/>
      <c r="HQJ34" s="515"/>
      <c r="HQK34" s="515"/>
      <c r="HQL34" s="515"/>
      <c r="HQM34" s="515"/>
      <c r="HQN34" s="515"/>
      <c r="HQO34" s="514"/>
      <c r="HQP34" s="515"/>
      <c r="HQQ34" s="515"/>
      <c r="HQR34" s="515"/>
      <c r="HQS34" s="515"/>
      <c r="HQT34" s="515"/>
      <c r="HQU34" s="515"/>
      <c r="HQV34" s="515"/>
      <c r="HQW34" s="514"/>
      <c r="HQX34" s="515"/>
      <c r="HQY34" s="515"/>
      <c r="HQZ34" s="515"/>
      <c r="HRA34" s="515"/>
      <c r="HRB34" s="515"/>
      <c r="HRC34" s="515"/>
      <c r="HRD34" s="515"/>
      <c r="HRE34" s="514"/>
      <c r="HRF34" s="515"/>
      <c r="HRG34" s="515"/>
      <c r="HRH34" s="515"/>
      <c r="HRI34" s="515"/>
      <c r="HRJ34" s="515"/>
      <c r="HRK34" s="515"/>
      <c r="HRL34" s="515"/>
      <c r="HRM34" s="514"/>
      <c r="HRN34" s="515"/>
      <c r="HRO34" s="515"/>
      <c r="HRP34" s="515"/>
      <c r="HRQ34" s="515"/>
      <c r="HRR34" s="515"/>
      <c r="HRS34" s="515"/>
      <c r="HRT34" s="515"/>
      <c r="HRU34" s="514"/>
      <c r="HRV34" s="515"/>
      <c r="HRW34" s="515"/>
      <c r="HRX34" s="515"/>
      <c r="HRY34" s="515"/>
      <c r="HRZ34" s="515"/>
      <c r="HSA34" s="515"/>
      <c r="HSB34" s="515"/>
      <c r="HSC34" s="514"/>
      <c r="HSD34" s="515"/>
      <c r="HSE34" s="515"/>
      <c r="HSF34" s="515"/>
      <c r="HSG34" s="515"/>
      <c r="HSH34" s="515"/>
      <c r="HSI34" s="515"/>
      <c r="HSJ34" s="515"/>
      <c r="HSK34" s="514"/>
      <c r="HSL34" s="515"/>
      <c r="HSM34" s="515"/>
      <c r="HSN34" s="515"/>
      <c r="HSO34" s="515"/>
      <c r="HSP34" s="515"/>
      <c r="HSQ34" s="515"/>
      <c r="HSR34" s="515"/>
      <c r="HSS34" s="514"/>
      <c r="HST34" s="515"/>
      <c r="HSU34" s="515"/>
      <c r="HSV34" s="515"/>
      <c r="HSW34" s="515"/>
      <c r="HSX34" s="515"/>
      <c r="HSY34" s="515"/>
      <c r="HSZ34" s="515"/>
      <c r="HTA34" s="514"/>
      <c r="HTB34" s="515"/>
      <c r="HTC34" s="515"/>
      <c r="HTD34" s="515"/>
      <c r="HTE34" s="515"/>
      <c r="HTF34" s="515"/>
      <c r="HTG34" s="515"/>
      <c r="HTH34" s="515"/>
      <c r="HTI34" s="514"/>
      <c r="HTJ34" s="515"/>
      <c r="HTK34" s="515"/>
      <c r="HTL34" s="515"/>
      <c r="HTM34" s="515"/>
      <c r="HTN34" s="515"/>
      <c r="HTO34" s="515"/>
      <c r="HTP34" s="515"/>
      <c r="HTQ34" s="514"/>
      <c r="HTR34" s="515"/>
      <c r="HTS34" s="515"/>
      <c r="HTT34" s="515"/>
      <c r="HTU34" s="515"/>
      <c r="HTV34" s="515"/>
      <c r="HTW34" s="515"/>
      <c r="HTX34" s="515"/>
      <c r="HTY34" s="514"/>
      <c r="HTZ34" s="515"/>
      <c r="HUA34" s="515"/>
      <c r="HUB34" s="515"/>
      <c r="HUC34" s="515"/>
      <c r="HUD34" s="515"/>
      <c r="HUE34" s="515"/>
      <c r="HUF34" s="515"/>
      <c r="HUG34" s="514"/>
      <c r="HUH34" s="515"/>
      <c r="HUI34" s="515"/>
      <c r="HUJ34" s="515"/>
      <c r="HUK34" s="515"/>
      <c r="HUL34" s="515"/>
      <c r="HUM34" s="515"/>
      <c r="HUN34" s="515"/>
      <c r="HUO34" s="514"/>
      <c r="HUP34" s="515"/>
      <c r="HUQ34" s="515"/>
      <c r="HUR34" s="515"/>
      <c r="HUS34" s="515"/>
      <c r="HUT34" s="515"/>
      <c r="HUU34" s="515"/>
      <c r="HUV34" s="515"/>
      <c r="HUW34" s="514"/>
      <c r="HUX34" s="515"/>
      <c r="HUY34" s="515"/>
      <c r="HUZ34" s="515"/>
      <c r="HVA34" s="515"/>
      <c r="HVB34" s="515"/>
      <c r="HVC34" s="515"/>
      <c r="HVD34" s="515"/>
      <c r="HVE34" s="514"/>
      <c r="HVF34" s="515"/>
      <c r="HVG34" s="515"/>
      <c r="HVH34" s="515"/>
      <c r="HVI34" s="515"/>
      <c r="HVJ34" s="515"/>
      <c r="HVK34" s="515"/>
      <c r="HVL34" s="515"/>
      <c r="HVM34" s="514"/>
      <c r="HVN34" s="515"/>
      <c r="HVO34" s="515"/>
      <c r="HVP34" s="515"/>
      <c r="HVQ34" s="515"/>
      <c r="HVR34" s="515"/>
      <c r="HVS34" s="515"/>
      <c r="HVT34" s="515"/>
      <c r="HVU34" s="514"/>
      <c r="HVV34" s="515"/>
      <c r="HVW34" s="515"/>
      <c r="HVX34" s="515"/>
      <c r="HVY34" s="515"/>
      <c r="HVZ34" s="515"/>
      <c r="HWA34" s="515"/>
      <c r="HWB34" s="515"/>
      <c r="HWC34" s="514"/>
      <c r="HWD34" s="515"/>
      <c r="HWE34" s="515"/>
      <c r="HWF34" s="515"/>
      <c r="HWG34" s="515"/>
      <c r="HWH34" s="515"/>
      <c r="HWI34" s="515"/>
      <c r="HWJ34" s="515"/>
      <c r="HWK34" s="514"/>
      <c r="HWL34" s="515"/>
      <c r="HWM34" s="515"/>
      <c r="HWN34" s="515"/>
      <c r="HWO34" s="515"/>
      <c r="HWP34" s="515"/>
      <c r="HWQ34" s="515"/>
      <c r="HWR34" s="515"/>
      <c r="HWS34" s="514"/>
      <c r="HWT34" s="515"/>
      <c r="HWU34" s="515"/>
      <c r="HWV34" s="515"/>
      <c r="HWW34" s="515"/>
      <c r="HWX34" s="515"/>
      <c r="HWY34" s="515"/>
      <c r="HWZ34" s="515"/>
      <c r="HXA34" s="514"/>
      <c r="HXB34" s="515"/>
      <c r="HXC34" s="515"/>
      <c r="HXD34" s="515"/>
      <c r="HXE34" s="515"/>
      <c r="HXF34" s="515"/>
      <c r="HXG34" s="515"/>
      <c r="HXH34" s="515"/>
      <c r="HXI34" s="514"/>
      <c r="HXJ34" s="515"/>
      <c r="HXK34" s="515"/>
      <c r="HXL34" s="515"/>
      <c r="HXM34" s="515"/>
      <c r="HXN34" s="515"/>
      <c r="HXO34" s="515"/>
      <c r="HXP34" s="515"/>
      <c r="HXQ34" s="514"/>
      <c r="HXR34" s="515"/>
      <c r="HXS34" s="515"/>
      <c r="HXT34" s="515"/>
      <c r="HXU34" s="515"/>
      <c r="HXV34" s="515"/>
      <c r="HXW34" s="515"/>
      <c r="HXX34" s="515"/>
      <c r="HXY34" s="514"/>
      <c r="HXZ34" s="515"/>
      <c r="HYA34" s="515"/>
      <c r="HYB34" s="515"/>
      <c r="HYC34" s="515"/>
      <c r="HYD34" s="515"/>
      <c r="HYE34" s="515"/>
      <c r="HYF34" s="515"/>
      <c r="HYG34" s="514"/>
      <c r="HYH34" s="515"/>
      <c r="HYI34" s="515"/>
      <c r="HYJ34" s="515"/>
      <c r="HYK34" s="515"/>
      <c r="HYL34" s="515"/>
      <c r="HYM34" s="515"/>
      <c r="HYN34" s="515"/>
      <c r="HYO34" s="514"/>
      <c r="HYP34" s="515"/>
      <c r="HYQ34" s="515"/>
      <c r="HYR34" s="515"/>
      <c r="HYS34" s="515"/>
      <c r="HYT34" s="515"/>
      <c r="HYU34" s="515"/>
      <c r="HYV34" s="515"/>
      <c r="HYW34" s="514"/>
      <c r="HYX34" s="515"/>
      <c r="HYY34" s="515"/>
      <c r="HYZ34" s="515"/>
      <c r="HZA34" s="515"/>
      <c r="HZB34" s="515"/>
      <c r="HZC34" s="515"/>
      <c r="HZD34" s="515"/>
      <c r="HZE34" s="514"/>
      <c r="HZF34" s="515"/>
      <c r="HZG34" s="515"/>
      <c r="HZH34" s="515"/>
      <c r="HZI34" s="515"/>
      <c r="HZJ34" s="515"/>
      <c r="HZK34" s="515"/>
      <c r="HZL34" s="515"/>
      <c r="HZM34" s="514"/>
      <c r="HZN34" s="515"/>
      <c r="HZO34" s="515"/>
      <c r="HZP34" s="515"/>
      <c r="HZQ34" s="515"/>
      <c r="HZR34" s="515"/>
      <c r="HZS34" s="515"/>
      <c r="HZT34" s="515"/>
      <c r="HZU34" s="514"/>
      <c r="HZV34" s="515"/>
      <c r="HZW34" s="515"/>
      <c r="HZX34" s="515"/>
      <c r="HZY34" s="515"/>
      <c r="HZZ34" s="515"/>
      <c r="IAA34" s="515"/>
      <c r="IAB34" s="515"/>
      <c r="IAC34" s="514"/>
      <c r="IAD34" s="515"/>
      <c r="IAE34" s="515"/>
      <c r="IAF34" s="515"/>
      <c r="IAG34" s="515"/>
      <c r="IAH34" s="515"/>
      <c r="IAI34" s="515"/>
      <c r="IAJ34" s="515"/>
      <c r="IAK34" s="514"/>
      <c r="IAL34" s="515"/>
      <c r="IAM34" s="515"/>
      <c r="IAN34" s="515"/>
      <c r="IAO34" s="515"/>
      <c r="IAP34" s="515"/>
      <c r="IAQ34" s="515"/>
      <c r="IAR34" s="515"/>
      <c r="IAS34" s="514"/>
      <c r="IAT34" s="515"/>
      <c r="IAU34" s="515"/>
      <c r="IAV34" s="515"/>
      <c r="IAW34" s="515"/>
      <c r="IAX34" s="515"/>
      <c r="IAY34" s="515"/>
      <c r="IAZ34" s="515"/>
      <c r="IBA34" s="514"/>
      <c r="IBB34" s="515"/>
      <c r="IBC34" s="515"/>
      <c r="IBD34" s="515"/>
      <c r="IBE34" s="515"/>
      <c r="IBF34" s="515"/>
      <c r="IBG34" s="515"/>
      <c r="IBH34" s="515"/>
      <c r="IBI34" s="514"/>
      <c r="IBJ34" s="515"/>
      <c r="IBK34" s="515"/>
      <c r="IBL34" s="515"/>
      <c r="IBM34" s="515"/>
      <c r="IBN34" s="515"/>
      <c r="IBO34" s="515"/>
      <c r="IBP34" s="515"/>
      <c r="IBQ34" s="514"/>
      <c r="IBR34" s="515"/>
      <c r="IBS34" s="515"/>
      <c r="IBT34" s="515"/>
      <c r="IBU34" s="515"/>
      <c r="IBV34" s="515"/>
      <c r="IBW34" s="515"/>
      <c r="IBX34" s="515"/>
      <c r="IBY34" s="514"/>
      <c r="IBZ34" s="515"/>
      <c r="ICA34" s="515"/>
      <c r="ICB34" s="515"/>
      <c r="ICC34" s="515"/>
      <c r="ICD34" s="515"/>
      <c r="ICE34" s="515"/>
      <c r="ICF34" s="515"/>
      <c r="ICG34" s="514"/>
      <c r="ICH34" s="515"/>
      <c r="ICI34" s="515"/>
      <c r="ICJ34" s="515"/>
      <c r="ICK34" s="515"/>
      <c r="ICL34" s="515"/>
      <c r="ICM34" s="515"/>
      <c r="ICN34" s="515"/>
      <c r="ICO34" s="514"/>
      <c r="ICP34" s="515"/>
      <c r="ICQ34" s="515"/>
      <c r="ICR34" s="515"/>
      <c r="ICS34" s="515"/>
      <c r="ICT34" s="515"/>
      <c r="ICU34" s="515"/>
      <c r="ICV34" s="515"/>
      <c r="ICW34" s="514"/>
      <c r="ICX34" s="515"/>
      <c r="ICY34" s="515"/>
      <c r="ICZ34" s="515"/>
      <c r="IDA34" s="515"/>
      <c r="IDB34" s="515"/>
      <c r="IDC34" s="515"/>
      <c r="IDD34" s="515"/>
      <c r="IDE34" s="514"/>
      <c r="IDF34" s="515"/>
      <c r="IDG34" s="515"/>
      <c r="IDH34" s="515"/>
      <c r="IDI34" s="515"/>
      <c r="IDJ34" s="515"/>
      <c r="IDK34" s="515"/>
      <c r="IDL34" s="515"/>
      <c r="IDM34" s="514"/>
      <c r="IDN34" s="515"/>
      <c r="IDO34" s="515"/>
      <c r="IDP34" s="515"/>
      <c r="IDQ34" s="515"/>
      <c r="IDR34" s="515"/>
      <c r="IDS34" s="515"/>
      <c r="IDT34" s="515"/>
      <c r="IDU34" s="514"/>
      <c r="IDV34" s="515"/>
      <c r="IDW34" s="515"/>
      <c r="IDX34" s="515"/>
      <c r="IDY34" s="515"/>
      <c r="IDZ34" s="515"/>
      <c r="IEA34" s="515"/>
      <c r="IEB34" s="515"/>
      <c r="IEC34" s="514"/>
      <c r="IED34" s="515"/>
      <c r="IEE34" s="515"/>
      <c r="IEF34" s="515"/>
      <c r="IEG34" s="515"/>
      <c r="IEH34" s="515"/>
      <c r="IEI34" s="515"/>
      <c r="IEJ34" s="515"/>
      <c r="IEK34" s="514"/>
      <c r="IEL34" s="515"/>
      <c r="IEM34" s="515"/>
      <c r="IEN34" s="515"/>
      <c r="IEO34" s="515"/>
      <c r="IEP34" s="515"/>
      <c r="IEQ34" s="515"/>
      <c r="IER34" s="515"/>
      <c r="IES34" s="514"/>
      <c r="IET34" s="515"/>
      <c r="IEU34" s="515"/>
      <c r="IEV34" s="515"/>
      <c r="IEW34" s="515"/>
      <c r="IEX34" s="515"/>
      <c r="IEY34" s="515"/>
      <c r="IEZ34" s="515"/>
      <c r="IFA34" s="514"/>
      <c r="IFB34" s="515"/>
      <c r="IFC34" s="515"/>
      <c r="IFD34" s="515"/>
      <c r="IFE34" s="515"/>
      <c r="IFF34" s="515"/>
      <c r="IFG34" s="515"/>
      <c r="IFH34" s="515"/>
      <c r="IFI34" s="514"/>
      <c r="IFJ34" s="515"/>
      <c r="IFK34" s="515"/>
      <c r="IFL34" s="515"/>
      <c r="IFM34" s="515"/>
      <c r="IFN34" s="515"/>
      <c r="IFO34" s="515"/>
      <c r="IFP34" s="515"/>
      <c r="IFQ34" s="514"/>
      <c r="IFR34" s="515"/>
      <c r="IFS34" s="515"/>
      <c r="IFT34" s="515"/>
      <c r="IFU34" s="515"/>
      <c r="IFV34" s="515"/>
      <c r="IFW34" s="515"/>
      <c r="IFX34" s="515"/>
      <c r="IFY34" s="514"/>
      <c r="IFZ34" s="515"/>
      <c r="IGA34" s="515"/>
      <c r="IGB34" s="515"/>
      <c r="IGC34" s="515"/>
      <c r="IGD34" s="515"/>
      <c r="IGE34" s="515"/>
      <c r="IGF34" s="515"/>
      <c r="IGG34" s="514"/>
      <c r="IGH34" s="515"/>
      <c r="IGI34" s="515"/>
      <c r="IGJ34" s="515"/>
      <c r="IGK34" s="515"/>
      <c r="IGL34" s="515"/>
      <c r="IGM34" s="515"/>
      <c r="IGN34" s="515"/>
      <c r="IGO34" s="514"/>
      <c r="IGP34" s="515"/>
      <c r="IGQ34" s="515"/>
      <c r="IGR34" s="515"/>
      <c r="IGS34" s="515"/>
      <c r="IGT34" s="515"/>
      <c r="IGU34" s="515"/>
      <c r="IGV34" s="515"/>
      <c r="IGW34" s="514"/>
      <c r="IGX34" s="515"/>
      <c r="IGY34" s="515"/>
      <c r="IGZ34" s="515"/>
      <c r="IHA34" s="515"/>
      <c r="IHB34" s="515"/>
      <c r="IHC34" s="515"/>
      <c r="IHD34" s="515"/>
      <c r="IHE34" s="514"/>
      <c r="IHF34" s="515"/>
      <c r="IHG34" s="515"/>
      <c r="IHH34" s="515"/>
      <c r="IHI34" s="515"/>
      <c r="IHJ34" s="515"/>
      <c r="IHK34" s="515"/>
      <c r="IHL34" s="515"/>
      <c r="IHM34" s="514"/>
      <c r="IHN34" s="515"/>
      <c r="IHO34" s="515"/>
      <c r="IHP34" s="515"/>
      <c r="IHQ34" s="515"/>
      <c r="IHR34" s="515"/>
      <c r="IHS34" s="515"/>
      <c r="IHT34" s="515"/>
      <c r="IHU34" s="514"/>
      <c r="IHV34" s="515"/>
      <c r="IHW34" s="515"/>
      <c r="IHX34" s="515"/>
      <c r="IHY34" s="515"/>
      <c r="IHZ34" s="515"/>
      <c r="IIA34" s="515"/>
      <c r="IIB34" s="515"/>
      <c r="IIC34" s="514"/>
      <c r="IID34" s="515"/>
      <c r="IIE34" s="515"/>
      <c r="IIF34" s="515"/>
      <c r="IIG34" s="515"/>
      <c r="IIH34" s="515"/>
      <c r="III34" s="515"/>
      <c r="IIJ34" s="515"/>
      <c r="IIK34" s="514"/>
      <c r="IIL34" s="515"/>
      <c r="IIM34" s="515"/>
      <c r="IIN34" s="515"/>
      <c r="IIO34" s="515"/>
      <c r="IIP34" s="515"/>
      <c r="IIQ34" s="515"/>
      <c r="IIR34" s="515"/>
      <c r="IIS34" s="514"/>
      <c r="IIT34" s="515"/>
      <c r="IIU34" s="515"/>
      <c r="IIV34" s="515"/>
      <c r="IIW34" s="515"/>
      <c r="IIX34" s="515"/>
      <c r="IIY34" s="515"/>
      <c r="IIZ34" s="515"/>
      <c r="IJA34" s="514"/>
      <c r="IJB34" s="515"/>
      <c r="IJC34" s="515"/>
      <c r="IJD34" s="515"/>
      <c r="IJE34" s="515"/>
      <c r="IJF34" s="515"/>
      <c r="IJG34" s="515"/>
      <c r="IJH34" s="515"/>
      <c r="IJI34" s="514"/>
      <c r="IJJ34" s="515"/>
      <c r="IJK34" s="515"/>
      <c r="IJL34" s="515"/>
      <c r="IJM34" s="515"/>
      <c r="IJN34" s="515"/>
      <c r="IJO34" s="515"/>
      <c r="IJP34" s="515"/>
      <c r="IJQ34" s="514"/>
      <c r="IJR34" s="515"/>
      <c r="IJS34" s="515"/>
      <c r="IJT34" s="515"/>
      <c r="IJU34" s="515"/>
      <c r="IJV34" s="515"/>
      <c r="IJW34" s="515"/>
      <c r="IJX34" s="515"/>
      <c r="IJY34" s="514"/>
      <c r="IJZ34" s="515"/>
      <c r="IKA34" s="515"/>
      <c r="IKB34" s="515"/>
      <c r="IKC34" s="515"/>
      <c r="IKD34" s="515"/>
      <c r="IKE34" s="515"/>
      <c r="IKF34" s="515"/>
      <c r="IKG34" s="514"/>
      <c r="IKH34" s="515"/>
      <c r="IKI34" s="515"/>
      <c r="IKJ34" s="515"/>
      <c r="IKK34" s="515"/>
      <c r="IKL34" s="515"/>
      <c r="IKM34" s="515"/>
      <c r="IKN34" s="515"/>
      <c r="IKO34" s="514"/>
      <c r="IKP34" s="515"/>
      <c r="IKQ34" s="515"/>
      <c r="IKR34" s="515"/>
      <c r="IKS34" s="515"/>
      <c r="IKT34" s="515"/>
      <c r="IKU34" s="515"/>
      <c r="IKV34" s="515"/>
      <c r="IKW34" s="514"/>
      <c r="IKX34" s="515"/>
      <c r="IKY34" s="515"/>
      <c r="IKZ34" s="515"/>
      <c r="ILA34" s="515"/>
      <c r="ILB34" s="515"/>
      <c r="ILC34" s="515"/>
      <c r="ILD34" s="515"/>
      <c r="ILE34" s="514"/>
      <c r="ILF34" s="515"/>
      <c r="ILG34" s="515"/>
      <c r="ILH34" s="515"/>
      <c r="ILI34" s="515"/>
      <c r="ILJ34" s="515"/>
      <c r="ILK34" s="515"/>
      <c r="ILL34" s="515"/>
      <c r="ILM34" s="514"/>
      <c r="ILN34" s="515"/>
      <c r="ILO34" s="515"/>
      <c r="ILP34" s="515"/>
      <c r="ILQ34" s="515"/>
      <c r="ILR34" s="515"/>
      <c r="ILS34" s="515"/>
      <c r="ILT34" s="515"/>
      <c r="ILU34" s="514"/>
      <c r="ILV34" s="515"/>
      <c r="ILW34" s="515"/>
      <c r="ILX34" s="515"/>
      <c r="ILY34" s="515"/>
      <c r="ILZ34" s="515"/>
      <c r="IMA34" s="515"/>
      <c r="IMB34" s="515"/>
      <c r="IMC34" s="514"/>
      <c r="IMD34" s="515"/>
      <c r="IME34" s="515"/>
      <c r="IMF34" s="515"/>
      <c r="IMG34" s="515"/>
      <c r="IMH34" s="515"/>
      <c r="IMI34" s="515"/>
      <c r="IMJ34" s="515"/>
      <c r="IMK34" s="514"/>
      <c r="IML34" s="515"/>
      <c r="IMM34" s="515"/>
      <c r="IMN34" s="515"/>
      <c r="IMO34" s="515"/>
      <c r="IMP34" s="515"/>
      <c r="IMQ34" s="515"/>
      <c r="IMR34" s="515"/>
      <c r="IMS34" s="514"/>
      <c r="IMT34" s="515"/>
      <c r="IMU34" s="515"/>
      <c r="IMV34" s="515"/>
      <c r="IMW34" s="515"/>
      <c r="IMX34" s="515"/>
      <c r="IMY34" s="515"/>
      <c r="IMZ34" s="515"/>
      <c r="INA34" s="514"/>
      <c r="INB34" s="515"/>
      <c r="INC34" s="515"/>
      <c r="IND34" s="515"/>
      <c r="INE34" s="515"/>
      <c r="INF34" s="515"/>
      <c r="ING34" s="515"/>
      <c r="INH34" s="515"/>
      <c r="INI34" s="514"/>
      <c r="INJ34" s="515"/>
      <c r="INK34" s="515"/>
      <c r="INL34" s="515"/>
      <c r="INM34" s="515"/>
      <c r="INN34" s="515"/>
      <c r="INO34" s="515"/>
      <c r="INP34" s="515"/>
      <c r="INQ34" s="514"/>
      <c r="INR34" s="515"/>
      <c r="INS34" s="515"/>
      <c r="INT34" s="515"/>
      <c r="INU34" s="515"/>
      <c r="INV34" s="515"/>
      <c r="INW34" s="515"/>
      <c r="INX34" s="515"/>
      <c r="INY34" s="514"/>
      <c r="INZ34" s="515"/>
      <c r="IOA34" s="515"/>
      <c r="IOB34" s="515"/>
      <c r="IOC34" s="515"/>
      <c r="IOD34" s="515"/>
      <c r="IOE34" s="515"/>
      <c r="IOF34" s="515"/>
      <c r="IOG34" s="514"/>
      <c r="IOH34" s="515"/>
      <c r="IOI34" s="515"/>
      <c r="IOJ34" s="515"/>
      <c r="IOK34" s="515"/>
      <c r="IOL34" s="515"/>
      <c r="IOM34" s="515"/>
      <c r="ION34" s="515"/>
      <c r="IOO34" s="514"/>
      <c r="IOP34" s="515"/>
      <c r="IOQ34" s="515"/>
      <c r="IOR34" s="515"/>
      <c r="IOS34" s="515"/>
      <c r="IOT34" s="515"/>
      <c r="IOU34" s="515"/>
      <c r="IOV34" s="515"/>
      <c r="IOW34" s="514"/>
      <c r="IOX34" s="515"/>
      <c r="IOY34" s="515"/>
      <c r="IOZ34" s="515"/>
      <c r="IPA34" s="515"/>
      <c r="IPB34" s="515"/>
      <c r="IPC34" s="515"/>
      <c r="IPD34" s="515"/>
      <c r="IPE34" s="514"/>
      <c r="IPF34" s="515"/>
      <c r="IPG34" s="515"/>
      <c r="IPH34" s="515"/>
      <c r="IPI34" s="515"/>
      <c r="IPJ34" s="515"/>
      <c r="IPK34" s="515"/>
      <c r="IPL34" s="515"/>
      <c r="IPM34" s="514"/>
      <c r="IPN34" s="515"/>
      <c r="IPO34" s="515"/>
      <c r="IPP34" s="515"/>
      <c r="IPQ34" s="515"/>
      <c r="IPR34" s="515"/>
      <c r="IPS34" s="515"/>
      <c r="IPT34" s="515"/>
      <c r="IPU34" s="514"/>
      <c r="IPV34" s="515"/>
      <c r="IPW34" s="515"/>
      <c r="IPX34" s="515"/>
      <c r="IPY34" s="515"/>
      <c r="IPZ34" s="515"/>
      <c r="IQA34" s="515"/>
      <c r="IQB34" s="515"/>
      <c r="IQC34" s="514"/>
      <c r="IQD34" s="515"/>
      <c r="IQE34" s="515"/>
      <c r="IQF34" s="515"/>
      <c r="IQG34" s="515"/>
      <c r="IQH34" s="515"/>
      <c r="IQI34" s="515"/>
      <c r="IQJ34" s="515"/>
      <c r="IQK34" s="514"/>
      <c r="IQL34" s="515"/>
      <c r="IQM34" s="515"/>
      <c r="IQN34" s="515"/>
      <c r="IQO34" s="515"/>
      <c r="IQP34" s="515"/>
      <c r="IQQ34" s="515"/>
      <c r="IQR34" s="515"/>
      <c r="IQS34" s="514"/>
      <c r="IQT34" s="515"/>
      <c r="IQU34" s="515"/>
      <c r="IQV34" s="515"/>
      <c r="IQW34" s="515"/>
      <c r="IQX34" s="515"/>
      <c r="IQY34" s="515"/>
      <c r="IQZ34" s="515"/>
      <c r="IRA34" s="514"/>
      <c r="IRB34" s="515"/>
      <c r="IRC34" s="515"/>
      <c r="IRD34" s="515"/>
      <c r="IRE34" s="515"/>
      <c r="IRF34" s="515"/>
      <c r="IRG34" s="515"/>
      <c r="IRH34" s="515"/>
      <c r="IRI34" s="514"/>
      <c r="IRJ34" s="515"/>
      <c r="IRK34" s="515"/>
      <c r="IRL34" s="515"/>
      <c r="IRM34" s="515"/>
      <c r="IRN34" s="515"/>
      <c r="IRO34" s="515"/>
      <c r="IRP34" s="515"/>
      <c r="IRQ34" s="514"/>
      <c r="IRR34" s="515"/>
      <c r="IRS34" s="515"/>
      <c r="IRT34" s="515"/>
      <c r="IRU34" s="515"/>
      <c r="IRV34" s="515"/>
      <c r="IRW34" s="515"/>
      <c r="IRX34" s="515"/>
      <c r="IRY34" s="514"/>
      <c r="IRZ34" s="515"/>
      <c r="ISA34" s="515"/>
      <c r="ISB34" s="515"/>
      <c r="ISC34" s="515"/>
      <c r="ISD34" s="515"/>
      <c r="ISE34" s="515"/>
      <c r="ISF34" s="515"/>
      <c r="ISG34" s="514"/>
      <c r="ISH34" s="515"/>
      <c r="ISI34" s="515"/>
      <c r="ISJ34" s="515"/>
      <c r="ISK34" s="515"/>
      <c r="ISL34" s="515"/>
      <c r="ISM34" s="515"/>
      <c r="ISN34" s="515"/>
      <c r="ISO34" s="514"/>
      <c r="ISP34" s="515"/>
      <c r="ISQ34" s="515"/>
      <c r="ISR34" s="515"/>
      <c r="ISS34" s="515"/>
      <c r="IST34" s="515"/>
      <c r="ISU34" s="515"/>
      <c r="ISV34" s="515"/>
      <c r="ISW34" s="514"/>
      <c r="ISX34" s="515"/>
      <c r="ISY34" s="515"/>
      <c r="ISZ34" s="515"/>
      <c r="ITA34" s="515"/>
      <c r="ITB34" s="515"/>
      <c r="ITC34" s="515"/>
      <c r="ITD34" s="515"/>
      <c r="ITE34" s="514"/>
      <c r="ITF34" s="515"/>
      <c r="ITG34" s="515"/>
      <c r="ITH34" s="515"/>
      <c r="ITI34" s="515"/>
      <c r="ITJ34" s="515"/>
      <c r="ITK34" s="515"/>
      <c r="ITL34" s="515"/>
      <c r="ITM34" s="514"/>
      <c r="ITN34" s="515"/>
      <c r="ITO34" s="515"/>
      <c r="ITP34" s="515"/>
      <c r="ITQ34" s="515"/>
      <c r="ITR34" s="515"/>
      <c r="ITS34" s="515"/>
      <c r="ITT34" s="515"/>
      <c r="ITU34" s="514"/>
      <c r="ITV34" s="515"/>
      <c r="ITW34" s="515"/>
      <c r="ITX34" s="515"/>
      <c r="ITY34" s="515"/>
      <c r="ITZ34" s="515"/>
      <c r="IUA34" s="515"/>
      <c r="IUB34" s="515"/>
      <c r="IUC34" s="514"/>
      <c r="IUD34" s="515"/>
      <c r="IUE34" s="515"/>
      <c r="IUF34" s="515"/>
      <c r="IUG34" s="515"/>
      <c r="IUH34" s="515"/>
      <c r="IUI34" s="515"/>
      <c r="IUJ34" s="515"/>
      <c r="IUK34" s="514"/>
      <c r="IUL34" s="515"/>
      <c r="IUM34" s="515"/>
      <c r="IUN34" s="515"/>
      <c r="IUO34" s="515"/>
      <c r="IUP34" s="515"/>
      <c r="IUQ34" s="515"/>
      <c r="IUR34" s="515"/>
      <c r="IUS34" s="514"/>
      <c r="IUT34" s="515"/>
      <c r="IUU34" s="515"/>
      <c r="IUV34" s="515"/>
      <c r="IUW34" s="515"/>
      <c r="IUX34" s="515"/>
      <c r="IUY34" s="515"/>
      <c r="IUZ34" s="515"/>
      <c r="IVA34" s="514"/>
      <c r="IVB34" s="515"/>
      <c r="IVC34" s="515"/>
      <c r="IVD34" s="515"/>
      <c r="IVE34" s="515"/>
      <c r="IVF34" s="515"/>
      <c r="IVG34" s="515"/>
      <c r="IVH34" s="515"/>
      <c r="IVI34" s="514"/>
      <c r="IVJ34" s="515"/>
      <c r="IVK34" s="515"/>
      <c r="IVL34" s="515"/>
      <c r="IVM34" s="515"/>
      <c r="IVN34" s="515"/>
      <c r="IVO34" s="515"/>
      <c r="IVP34" s="515"/>
      <c r="IVQ34" s="514"/>
      <c r="IVR34" s="515"/>
      <c r="IVS34" s="515"/>
      <c r="IVT34" s="515"/>
      <c r="IVU34" s="515"/>
      <c r="IVV34" s="515"/>
      <c r="IVW34" s="515"/>
      <c r="IVX34" s="515"/>
      <c r="IVY34" s="514"/>
      <c r="IVZ34" s="515"/>
      <c r="IWA34" s="515"/>
      <c r="IWB34" s="515"/>
      <c r="IWC34" s="515"/>
      <c r="IWD34" s="515"/>
      <c r="IWE34" s="515"/>
      <c r="IWF34" s="515"/>
      <c r="IWG34" s="514"/>
      <c r="IWH34" s="515"/>
      <c r="IWI34" s="515"/>
      <c r="IWJ34" s="515"/>
      <c r="IWK34" s="515"/>
      <c r="IWL34" s="515"/>
      <c r="IWM34" s="515"/>
      <c r="IWN34" s="515"/>
      <c r="IWO34" s="514"/>
      <c r="IWP34" s="515"/>
      <c r="IWQ34" s="515"/>
      <c r="IWR34" s="515"/>
      <c r="IWS34" s="515"/>
      <c r="IWT34" s="515"/>
      <c r="IWU34" s="515"/>
      <c r="IWV34" s="515"/>
      <c r="IWW34" s="514"/>
      <c r="IWX34" s="515"/>
      <c r="IWY34" s="515"/>
      <c r="IWZ34" s="515"/>
      <c r="IXA34" s="515"/>
      <c r="IXB34" s="515"/>
      <c r="IXC34" s="515"/>
      <c r="IXD34" s="515"/>
      <c r="IXE34" s="514"/>
      <c r="IXF34" s="515"/>
      <c r="IXG34" s="515"/>
      <c r="IXH34" s="515"/>
      <c r="IXI34" s="515"/>
      <c r="IXJ34" s="515"/>
      <c r="IXK34" s="515"/>
      <c r="IXL34" s="515"/>
      <c r="IXM34" s="514"/>
      <c r="IXN34" s="515"/>
      <c r="IXO34" s="515"/>
      <c r="IXP34" s="515"/>
      <c r="IXQ34" s="515"/>
      <c r="IXR34" s="515"/>
      <c r="IXS34" s="515"/>
      <c r="IXT34" s="515"/>
      <c r="IXU34" s="514"/>
      <c r="IXV34" s="515"/>
      <c r="IXW34" s="515"/>
      <c r="IXX34" s="515"/>
      <c r="IXY34" s="515"/>
      <c r="IXZ34" s="515"/>
      <c r="IYA34" s="515"/>
      <c r="IYB34" s="515"/>
      <c r="IYC34" s="514"/>
      <c r="IYD34" s="515"/>
      <c r="IYE34" s="515"/>
      <c r="IYF34" s="515"/>
      <c r="IYG34" s="515"/>
      <c r="IYH34" s="515"/>
      <c r="IYI34" s="515"/>
      <c r="IYJ34" s="515"/>
      <c r="IYK34" s="514"/>
      <c r="IYL34" s="515"/>
      <c r="IYM34" s="515"/>
      <c r="IYN34" s="515"/>
      <c r="IYO34" s="515"/>
      <c r="IYP34" s="515"/>
      <c r="IYQ34" s="515"/>
      <c r="IYR34" s="515"/>
      <c r="IYS34" s="514"/>
      <c r="IYT34" s="515"/>
      <c r="IYU34" s="515"/>
      <c r="IYV34" s="515"/>
      <c r="IYW34" s="515"/>
      <c r="IYX34" s="515"/>
      <c r="IYY34" s="515"/>
      <c r="IYZ34" s="515"/>
      <c r="IZA34" s="514"/>
      <c r="IZB34" s="515"/>
      <c r="IZC34" s="515"/>
      <c r="IZD34" s="515"/>
      <c r="IZE34" s="515"/>
      <c r="IZF34" s="515"/>
      <c r="IZG34" s="515"/>
      <c r="IZH34" s="515"/>
      <c r="IZI34" s="514"/>
      <c r="IZJ34" s="515"/>
      <c r="IZK34" s="515"/>
      <c r="IZL34" s="515"/>
      <c r="IZM34" s="515"/>
      <c r="IZN34" s="515"/>
      <c r="IZO34" s="515"/>
      <c r="IZP34" s="515"/>
      <c r="IZQ34" s="514"/>
      <c r="IZR34" s="515"/>
      <c r="IZS34" s="515"/>
      <c r="IZT34" s="515"/>
      <c r="IZU34" s="515"/>
      <c r="IZV34" s="515"/>
      <c r="IZW34" s="515"/>
      <c r="IZX34" s="515"/>
      <c r="IZY34" s="514"/>
      <c r="IZZ34" s="515"/>
      <c r="JAA34" s="515"/>
      <c r="JAB34" s="515"/>
      <c r="JAC34" s="515"/>
      <c r="JAD34" s="515"/>
      <c r="JAE34" s="515"/>
      <c r="JAF34" s="515"/>
      <c r="JAG34" s="514"/>
      <c r="JAH34" s="515"/>
      <c r="JAI34" s="515"/>
      <c r="JAJ34" s="515"/>
      <c r="JAK34" s="515"/>
      <c r="JAL34" s="515"/>
      <c r="JAM34" s="515"/>
      <c r="JAN34" s="515"/>
      <c r="JAO34" s="514"/>
      <c r="JAP34" s="515"/>
      <c r="JAQ34" s="515"/>
      <c r="JAR34" s="515"/>
      <c r="JAS34" s="515"/>
      <c r="JAT34" s="515"/>
      <c r="JAU34" s="515"/>
      <c r="JAV34" s="515"/>
      <c r="JAW34" s="514"/>
      <c r="JAX34" s="515"/>
      <c r="JAY34" s="515"/>
      <c r="JAZ34" s="515"/>
      <c r="JBA34" s="515"/>
      <c r="JBB34" s="515"/>
      <c r="JBC34" s="515"/>
      <c r="JBD34" s="515"/>
      <c r="JBE34" s="514"/>
      <c r="JBF34" s="515"/>
      <c r="JBG34" s="515"/>
      <c r="JBH34" s="515"/>
      <c r="JBI34" s="515"/>
      <c r="JBJ34" s="515"/>
      <c r="JBK34" s="515"/>
      <c r="JBL34" s="515"/>
      <c r="JBM34" s="514"/>
      <c r="JBN34" s="515"/>
      <c r="JBO34" s="515"/>
      <c r="JBP34" s="515"/>
      <c r="JBQ34" s="515"/>
      <c r="JBR34" s="515"/>
      <c r="JBS34" s="515"/>
      <c r="JBT34" s="515"/>
      <c r="JBU34" s="514"/>
      <c r="JBV34" s="515"/>
      <c r="JBW34" s="515"/>
      <c r="JBX34" s="515"/>
      <c r="JBY34" s="515"/>
      <c r="JBZ34" s="515"/>
      <c r="JCA34" s="515"/>
      <c r="JCB34" s="515"/>
      <c r="JCC34" s="514"/>
      <c r="JCD34" s="515"/>
      <c r="JCE34" s="515"/>
      <c r="JCF34" s="515"/>
      <c r="JCG34" s="515"/>
      <c r="JCH34" s="515"/>
      <c r="JCI34" s="515"/>
      <c r="JCJ34" s="515"/>
      <c r="JCK34" s="514"/>
      <c r="JCL34" s="515"/>
      <c r="JCM34" s="515"/>
      <c r="JCN34" s="515"/>
      <c r="JCO34" s="515"/>
      <c r="JCP34" s="515"/>
      <c r="JCQ34" s="515"/>
      <c r="JCR34" s="515"/>
      <c r="JCS34" s="514"/>
      <c r="JCT34" s="515"/>
      <c r="JCU34" s="515"/>
      <c r="JCV34" s="515"/>
      <c r="JCW34" s="515"/>
      <c r="JCX34" s="515"/>
      <c r="JCY34" s="515"/>
      <c r="JCZ34" s="515"/>
      <c r="JDA34" s="514"/>
      <c r="JDB34" s="515"/>
      <c r="JDC34" s="515"/>
      <c r="JDD34" s="515"/>
      <c r="JDE34" s="515"/>
      <c r="JDF34" s="515"/>
      <c r="JDG34" s="515"/>
      <c r="JDH34" s="515"/>
      <c r="JDI34" s="514"/>
      <c r="JDJ34" s="515"/>
      <c r="JDK34" s="515"/>
      <c r="JDL34" s="515"/>
      <c r="JDM34" s="515"/>
      <c r="JDN34" s="515"/>
      <c r="JDO34" s="515"/>
      <c r="JDP34" s="515"/>
      <c r="JDQ34" s="514"/>
      <c r="JDR34" s="515"/>
      <c r="JDS34" s="515"/>
      <c r="JDT34" s="515"/>
      <c r="JDU34" s="515"/>
      <c r="JDV34" s="515"/>
      <c r="JDW34" s="515"/>
      <c r="JDX34" s="515"/>
      <c r="JDY34" s="514"/>
      <c r="JDZ34" s="515"/>
      <c r="JEA34" s="515"/>
      <c r="JEB34" s="515"/>
      <c r="JEC34" s="515"/>
      <c r="JED34" s="515"/>
      <c r="JEE34" s="515"/>
      <c r="JEF34" s="515"/>
      <c r="JEG34" s="514"/>
      <c r="JEH34" s="515"/>
      <c r="JEI34" s="515"/>
      <c r="JEJ34" s="515"/>
      <c r="JEK34" s="515"/>
      <c r="JEL34" s="515"/>
      <c r="JEM34" s="515"/>
      <c r="JEN34" s="515"/>
      <c r="JEO34" s="514"/>
      <c r="JEP34" s="515"/>
      <c r="JEQ34" s="515"/>
      <c r="JER34" s="515"/>
      <c r="JES34" s="515"/>
      <c r="JET34" s="515"/>
      <c r="JEU34" s="515"/>
      <c r="JEV34" s="515"/>
      <c r="JEW34" s="514"/>
      <c r="JEX34" s="515"/>
      <c r="JEY34" s="515"/>
      <c r="JEZ34" s="515"/>
      <c r="JFA34" s="515"/>
      <c r="JFB34" s="515"/>
      <c r="JFC34" s="515"/>
      <c r="JFD34" s="515"/>
      <c r="JFE34" s="514"/>
      <c r="JFF34" s="515"/>
      <c r="JFG34" s="515"/>
      <c r="JFH34" s="515"/>
      <c r="JFI34" s="515"/>
      <c r="JFJ34" s="515"/>
      <c r="JFK34" s="515"/>
      <c r="JFL34" s="515"/>
      <c r="JFM34" s="514"/>
      <c r="JFN34" s="515"/>
      <c r="JFO34" s="515"/>
      <c r="JFP34" s="515"/>
      <c r="JFQ34" s="515"/>
      <c r="JFR34" s="515"/>
      <c r="JFS34" s="515"/>
      <c r="JFT34" s="515"/>
      <c r="JFU34" s="514"/>
      <c r="JFV34" s="515"/>
      <c r="JFW34" s="515"/>
      <c r="JFX34" s="515"/>
      <c r="JFY34" s="515"/>
      <c r="JFZ34" s="515"/>
      <c r="JGA34" s="515"/>
      <c r="JGB34" s="515"/>
      <c r="JGC34" s="514"/>
      <c r="JGD34" s="515"/>
      <c r="JGE34" s="515"/>
      <c r="JGF34" s="515"/>
      <c r="JGG34" s="515"/>
      <c r="JGH34" s="515"/>
      <c r="JGI34" s="515"/>
      <c r="JGJ34" s="515"/>
      <c r="JGK34" s="514"/>
      <c r="JGL34" s="515"/>
      <c r="JGM34" s="515"/>
      <c r="JGN34" s="515"/>
      <c r="JGO34" s="515"/>
      <c r="JGP34" s="515"/>
      <c r="JGQ34" s="515"/>
      <c r="JGR34" s="515"/>
      <c r="JGS34" s="514"/>
      <c r="JGT34" s="515"/>
      <c r="JGU34" s="515"/>
      <c r="JGV34" s="515"/>
      <c r="JGW34" s="515"/>
      <c r="JGX34" s="515"/>
      <c r="JGY34" s="515"/>
      <c r="JGZ34" s="515"/>
      <c r="JHA34" s="514"/>
      <c r="JHB34" s="515"/>
      <c r="JHC34" s="515"/>
      <c r="JHD34" s="515"/>
      <c r="JHE34" s="515"/>
      <c r="JHF34" s="515"/>
      <c r="JHG34" s="515"/>
      <c r="JHH34" s="515"/>
      <c r="JHI34" s="514"/>
      <c r="JHJ34" s="515"/>
      <c r="JHK34" s="515"/>
      <c r="JHL34" s="515"/>
      <c r="JHM34" s="515"/>
      <c r="JHN34" s="515"/>
      <c r="JHO34" s="515"/>
      <c r="JHP34" s="515"/>
      <c r="JHQ34" s="514"/>
      <c r="JHR34" s="515"/>
      <c r="JHS34" s="515"/>
      <c r="JHT34" s="515"/>
      <c r="JHU34" s="515"/>
      <c r="JHV34" s="515"/>
      <c r="JHW34" s="515"/>
      <c r="JHX34" s="515"/>
      <c r="JHY34" s="514"/>
      <c r="JHZ34" s="515"/>
      <c r="JIA34" s="515"/>
      <c r="JIB34" s="515"/>
      <c r="JIC34" s="515"/>
      <c r="JID34" s="515"/>
      <c r="JIE34" s="515"/>
      <c r="JIF34" s="515"/>
      <c r="JIG34" s="514"/>
      <c r="JIH34" s="515"/>
      <c r="JII34" s="515"/>
      <c r="JIJ34" s="515"/>
      <c r="JIK34" s="515"/>
      <c r="JIL34" s="515"/>
      <c r="JIM34" s="515"/>
      <c r="JIN34" s="515"/>
      <c r="JIO34" s="514"/>
      <c r="JIP34" s="515"/>
      <c r="JIQ34" s="515"/>
      <c r="JIR34" s="515"/>
      <c r="JIS34" s="515"/>
      <c r="JIT34" s="515"/>
      <c r="JIU34" s="515"/>
      <c r="JIV34" s="515"/>
      <c r="JIW34" s="514"/>
      <c r="JIX34" s="515"/>
      <c r="JIY34" s="515"/>
      <c r="JIZ34" s="515"/>
      <c r="JJA34" s="515"/>
      <c r="JJB34" s="515"/>
      <c r="JJC34" s="515"/>
      <c r="JJD34" s="515"/>
      <c r="JJE34" s="514"/>
      <c r="JJF34" s="515"/>
      <c r="JJG34" s="515"/>
      <c r="JJH34" s="515"/>
      <c r="JJI34" s="515"/>
      <c r="JJJ34" s="515"/>
      <c r="JJK34" s="515"/>
      <c r="JJL34" s="515"/>
      <c r="JJM34" s="514"/>
      <c r="JJN34" s="515"/>
      <c r="JJO34" s="515"/>
      <c r="JJP34" s="515"/>
      <c r="JJQ34" s="515"/>
      <c r="JJR34" s="515"/>
      <c r="JJS34" s="515"/>
      <c r="JJT34" s="515"/>
      <c r="JJU34" s="514"/>
      <c r="JJV34" s="515"/>
      <c r="JJW34" s="515"/>
      <c r="JJX34" s="515"/>
      <c r="JJY34" s="515"/>
      <c r="JJZ34" s="515"/>
      <c r="JKA34" s="515"/>
      <c r="JKB34" s="515"/>
      <c r="JKC34" s="514"/>
      <c r="JKD34" s="515"/>
      <c r="JKE34" s="515"/>
      <c r="JKF34" s="515"/>
      <c r="JKG34" s="515"/>
      <c r="JKH34" s="515"/>
      <c r="JKI34" s="515"/>
      <c r="JKJ34" s="515"/>
      <c r="JKK34" s="514"/>
      <c r="JKL34" s="515"/>
      <c r="JKM34" s="515"/>
      <c r="JKN34" s="515"/>
      <c r="JKO34" s="515"/>
      <c r="JKP34" s="515"/>
      <c r="JKQ34" s="515"/>
      <c r="JKR34" s="515"/>
      <c r="JKS34" s="514"/>
      <c r="JKT34" s="515"/>
      <c r="JKU34" s="515"/>
      <c r="JKV34" s="515"/>
      <c r="JKW34" s="515"/>
      <c r="JKX34" s="515"/>
      <c r="JKY34" s="515"/>
      <c r="JKZ34" s="515"/>
      <c r="JLA34" s="514"/>
      <c r="JLB34" s="515"/>
      <c r="JLC34" s="515"/>
      <c r="JLD34" s="515"/>
      <c r="JLE34" s="515"/>
      <c r="JLF34" s="515"/>
      <c r="JLG34" s="515"/>
      <c r="JLH34" s="515"/>
      <c r="JLI34" s="514"/>
      <c r="JLJ34" s="515"/>
      <c r="JLK34" s="515"/>
      <c r="JLL34" s="515"/>
      <c r="JLM34" s="515"/>
      <c r="JLN34" s="515"/>
      <c r="JLO34" s="515"/>
      <c r="JLP34" s="515"/>
      <c r="JLQ34" s="514"/>
      <c r="JLR34" s="515"/>
      <c r="JLS34" s="515"/>
      <c r="JLT34" s="515"/>
      <c r="JLU34" s="515"/>
      <c r="JLV34" s="515"/>
      <c r="JLW34" s="515"/>
      <c r="JLX34" s="515"/>
      <c r="JLY34" s="514"/>
      <c r="JLZ34" s="515"/>
      <c r="JMA34" s="515"/>
      <c r="JMB34" s="515"/>
      <c r="JMC34" s="515"/>
      <c r="JMD34" s="515"/>
      <c r="JME34" s="515"/>
      <c r="JMF34" s="515"/>
      <c r="JMG34" s="514"/>
      <c r="JMH34" s="515"/>
      <c r="JMI34" s="515"/>
      <c r="JMJ34" s="515"/>
      <c r="JMK34" s="515"/>
      <c r="JML34" s="515"/>
      <c r="JMM34" s="515"/>
      <c r="JMN34" s="515"/>
      <c r="JMO34" s="514"/>
      <c r="JMP34" s="515"/>
      <c r="JMQ34" s="515"/>
      <c r="JMR34" s="515"/>
      <c r="JMS34" s="515"/>
      <c r="JMT34" s="515"/>
      <c r="JMU34" s="515"/>
      <c r="JMV34" s="515"/>
      <c r="JMW34" s="514"/>
      <c r="JMX34" s="515"/>
      <c r="JMY34" s="515"/>
      <c r="JMZ34" s="515"/>
      <c r="JNA34" s="515"/>
      <c r="JNB34" s="515"/>
      <c r="JNC34" s="515"/>
      <c r="JND34" s="515"/>
      <c r="JNE34" s="514"/>
      <c r="JNF34" s="515"/>
      <c r="JNG34" s="515"/>
      <c r="JNH34" s="515"/>
      <c r="JNI34" s="515"/>
      <c r="JNJ34" s="515"/>
      <c r="JNK34" s="515"/>
      <c r="JNL34" s="515"/>
      <c r="JNM34" s="514"/>
      <c r="JNN34" s="515"/>
      <c r="JNO34" s="515"/>
      <c r="JNP34" s="515"/>
      <c r="JNQ34" s="515"/>
      <c r="JNR34" s="515"/>
      <c r="JNS34" s="515"/>
      <c r="JNT34" s="515"/>
      <c r="JNU34" s="514"/>
      <c r="JNV34" s="515"/>
      <c r="JNW34" s="515"/>
      <c r="JNX34" s="515"/>
      <c r="JNY34" s="515"/>
      <c r="JNZ34" s="515"/>
      <c r="JOA34" s="515"/>
      <c r="JOB34" s="515"/>
      <c r="JOC34" s="514"/>
      <c r="JOD34" s="515"/>
      <c r="JOE34" s="515"/>
      <c r="JOF34" s="515"/>
      <c r="JOG34" s="515"/>
      <c r="JOH34" s="515"/>
      <c r="JOI34" s="515"/>
      <c r="JOJ34" s="515"/>
      <c r="JOK34" s="514"/>
      <c r="JOL34" s="515"/>
      <c r="JOM34" s="515"/>
      <c r="JON34" s="515"/>
      <c r="JOO34" s="515"/>
      <c r="JOP34" s="515"/>
      <c r="JOQ34" s="515"/>
      <c r="JOR34" s="515"/>
      <c r="JOS34" s="514"/>
      <c r="JOT34" s="515"/>
      <c r="JOU34" s="515"/>
      <c r="JOV34" s="515"/>
      <c r="JOW34" s="515"/>
      <c r="JOX34" s="515"/>
      <c r="JOY34" s="515"/>
      <c r="JOZ34" s="515"/>
      <c r="JPA34" s="514"/>
      <c r="JPB34" s="515"/>
      <c r="JPC34" s="515"/>
      <c r="JPD34" s="515"/>
      <c r="JPE34" s="515"/>
      <c r="JPF34" s="515"/>
      <c r="JPG34" s="515"/>
      <c r="JPH34" s="515"/>
      <c r="JPI34" s="514"/>
      <c r="JPJ34" s="515"/>
      <c r="JPK34" s="515"/>
      <c r="JPL34" s="515"/>
      <c r="JPM34" s="515"/>
      <c r="JPN34" s="515"/>
      <c r="JPO34" s="515"/>
      <c r="JPP34" s="515"/>
      <c r="JPQ34" s="514"/>
      <c r="JPR34" s="515"/>
      <c r="JPS34" s="515"/>
      <c r="JPT34" s="515"/>
      <c r="JPU34" s="515"/>
      <c r="JPV34" s="515"/>
      <c r="JPW34" s="515"/>
      <c r="JPX34" s="515"/>
      <c r="JPY34" s="514"/>
      <c r="JPZ34" s="515"/>
      <c r="JQA34" s="515"/>
      <c r="JQB34" s="515"/>
      <c r="JQC34" s="515"/>
      <c r="JQD34" s="515"/>
      <c r="JQE34" s="515"/>
      <c r="JQF34" s="515"/>
      <c r="JQG34" s="514"/>
      <c r="JQH34" s="515"/>
      <c r="JQI34" s="515"/>
      <c r="JQJ34" s="515"/>
      <c r="JQK34" s="515"/>
      <c r="JQL34" s="515"/>
      <c r="JQM34" s="515"/>
      <c r="JQN34" s="515"/>
      <c r="JQO34" s="514"/>
      <c r="JQP34" s="515"/>
      <c r="JQQ34" s="515"/>
      <c r="JQR34" s="515"/>
      <c r="JQS34" s="515"/>
      <c r="JQT34" s="515"/>
      <c r="JQU34" s="515"/>
      <c r="JQV34" s="515"/>
      <c r="JQW34" s="514"/>
      <c r="JQX34" s="515"/>
      <c r="JQY34" s="515"/>
      <c r="JQZ34" s="515"/>
      <c r="JRA34" s="515"/>
      <c r="JRB34" s="515"/>
      <c r="JRC34" s="515"/>
      <c r="JRD34" s="515"/>
      <c r="JRE34" s="514"/>
      <c r="JRF34" s="515"/>
      <c r="JRG34" s="515"/>
      <c r="JRH34" s="515"/>
      <c r="JRI34" s="515"/>
      <c r="JRJ34" s="515"/>
      <c r="JRK34" s="515"/>
      <c r="JRL34" s="515"/>
      <c r="JRM34" s="514"/>
      <c r="JRN34" s="515"/>
      <c r="JRO34" s="515"/>
      <c r="JRP34" s="515"/>
      <c r="JRQ34" s="515"/>
      <c r="JRR34" s="515"/>
      <c r="JRS34" s="515"/>
      <c r="JRT34" s="515"/>
      <c r="JRU34" s="514"/>
      <c r="JRV34" s="515"/>
      <c r="JRW34" s="515"/>
      <c r="JRX34" s="515"/>
      <c r="JRY34" s="515"/>
      <c r="JRZ34" s="515"/>
      <c r="JSA34" s="515"/>
      <c r="JSB34" s="515"/>
      <c r="JSC34" s="514"/>
      <c r="JSD34" s="515"/>
      <c r="JSE34" s="515"/>
      <c r="JSF34" s="515"/>
      <c r="JSG34" s="515"/>
      <c r="JSH34" s="515"/>
      <c r="JSI34" s="515"/>
      <c r="JSJ34" s="515"/>
      <c r="JSK34" s="514"/>
      <c r="JSL34" s="515"/>
      <c r="JSM34" s="515"/>
      <c r="JSN34" s="515"/>
      <c r="JSO34" s="515"/>
      <c r="JSP34" s="515"/>
      <c r="JSQ34" s="515"/>
      <c r="JSR34" s="515"/>
      <c r="JSS34" s="514"/>
      <c r="JST34" s="515"/>
      <c r="JSU34" s="515"/>
      <c r="JSV34" s="515"/>
      <c r="JSW34" s="515"/>
      <c r="JSX34" s="515"/>
      <c r="JSY34" s="515"/>
      <c r="JSZ34" s="515"/>
      <c r="JTA34" s="514"/>
      <c r="JTB34" s="515"/>
      <c r="JTC34" s="515"/>
      <c r="JTD34" s="515"/>
      <c r="JTE34" s="515"/>
      <c r="JTF34" s="515"/>
      <c r="JTG34" s="515"/>
      <c r="JTH34" s="515"/>
      <c r="JTI34" s="514"/>
      <c r="JTJ34" s="515"/>
      <c r="JTK34" s="515"/>
      <c r="JTL34" s="515"/>
      <c r="JTM34" s="515"/>
      <c r="JTN34" s="515"/>
      <c r="JTO34" s="515"/>
      <c r="JTP34" s="515"/>
      <c r="JTQ34" s="514"/>
      <c r="JTR34" s="515"/>
      <c r="JTS34" s="515"/>
      <c r="JTT34" s="515"/>
      <c r="JTU34" s="515"/>
      <c r="JTV34" s="515"/>
      <c r="JTW34" s="515"/>
      <c r="JTX34" s="515"/>
      <c r="JTY34" s="514"/>
      <c r="JTZ34" s="515"/>
      <c r="JUA34" s="515"/>
      <c r="JUB34" s="515"/>
      <c r="JUC34" s="515"/>
      <c r="JUD34" s="515"/>
      <c r="JUE34" s="515"/>
      <c r="JUF34" s="515"/>
      <c r="JUG34" s="514"/>
      <c r="JUH34" s="515"/>
      <c r="JUI34" s="515"/>
      <c r="JUJ34" s="515"/>
      <c r="JUK34" s="515"/>
      <c r="JUL34" s="515"/>
      <c r="JUM34" s="515"/>
      <c r="JUN34" s="515"/>
      <c r="JUO34" s="514"/>
      <c r="JUP34" s="515"/>
      <c r="JUQ34" s="515"/>
      <c r="JUR34" s="515"/>
      <c r="JUS34" s="515"/>
      <c r="JUT34" s="515"/>
      <c r="JUU34" s="515"/>
      <c r="JUV34" s="515"/>
      <c r="JUW34" s="514"/>
      <c r="JUX34" s="515"/>
      <c r="JUY34" s="515"/>
      <c r="JUZ34" s="515"/>
      <c r="JVA34" s="515"/>
      <c r="JVB34" s="515"/>
      <c r="JVC34" s="515"/>
      <c r="JVD34" s="515"/>
      <c r="JVE34" s="514"/>
      <c r="JVF34" s="515"/>
      <c r="JVG34" s="515"/>
      <c r="JVH34" s="515"/>
      <c r="JVI34" s="515"/>
      <c r="JVJ34" s="515"/>
      <c r="JVK34" s="515"/>
      <c r="JVL34" s="515"/>
      <c r="JVM34" s="514"/>
      <c r="JVN34" s="515"/>
      <c r="JVO34" s="515"/>
      <c r="JVP34" s="515"/>
      <c r="JVQ34" s="515"/>
      <c r="JVR34" s="515"/>
      <c r="JVS34" s="515"/>
      <c r="JVT34" s="515"/>
      <c r="JVU34" s="514"/>
      <c r="JVV34" s="515"/>
      <c r="JVW34" s="515"/>
      <c r="JVX34" s="515"/>
      <c r="JVY34" s="515"/>
      <c r="JVZ34" s="515"/>
      <c r="JWA34" s="515"/>
      <c r="JWB34" s="515"/>
      <c r="JWC34" s="514"/>
      <c r="JWD34" s="515"/>
      <c r="JWE34" s="515"/>
      <c r="JWF34" s="515"/>
      <c r="JWG34" s="515"/>
      <c r="JWH34" s="515"/>
      <c r="JWI34" s="515"/>
      <c r="JWJ34" s="515"/>
      <c r="JWK34" s="514"/>
      <c r="JWL34" s="515"/>
      <c r="JWM34" s="515"/>
      <c r="JWN34" s="515"/>
      <c r="JWO34" s="515"/>
      <c r="JWP34" s="515"/>
      <c r="JWQ34" s="515"/>
      <c r="JWR34" s="515"/>
      <c r="JWS34" s="514"/>
      <c r="JWT34" s="515"/>
      <c r="JWU34" s="515"/>
      <c r="JWV34" s="515"/>
      <c r="JWW34" s="515"/>
      <c r="JWX34" s="515"/>
      <c r="JWY34" s="515"/>
      <c r="JWZ34" s="515"/>
      <c r="JXA34" s="514"/>
      <c r="JXB34" s="515"/>
      <c r="JXC34" s="515"/>
      <c r="JXD34" s="515"/>
      <c r="JXE34" s="515"/>
      <c r="JXF34" s="515"/>
      <c r="JXG34" s="515"/>
      <c r="JXH34" s="515"/>
      <c r="JXI34" s="514"/>
      <c r="JXJ34" s="515"/>
      <c r="JXK34" s="515"/>
      <c r="JXL34" s="515"/>
      <c r="JXM34" s="515"/>
      <c r="JXN34" s="515"/>
      <c r="JXO34" s="515"/>
      <c r="JXP34" s="515"/>
      <c r="JXQ34" s="514"/>
      <c r="JXR34" s="515"/>
      <c r="JXS34" s="515"/>
      <c r="JXT34" s="515"/>
      <c r="JXU34" s="515"/>
      <c r="JXV34" s="515"/>
      <c r="JXW34" s="515"/>
      <c r="JXX34" s="515"/>
      <c r="JXY34" s="514"/>
      <c r="JXZ34" s="515"/>
      <c r="JYA34" s="515"/>
      <c r="JYB34" s="515"/>
      <c r="JYC34" s="515"/>
      <c r="JYD34" s="515"/>
      <c r="JYE34" s="515"/>
      <c r="JYF34" s="515"/>
      <c r="JYG34" s="514"/>
      <c r="JYH34" s="515"/>
      <c r="JYI34" s="515"/>
      <c r="JYJ34" s="515"/>
      <c r="JYK34" s="515"/>
      <c r="JYL34" s="515"/>
      <c r="JYM34" s="515"/>
      <c r="JYN34" s="515"/>
      <c r="JYO34" s="514"/>
      <c r="JYP34" s="515"/>
      <c r="JYQ34" s="515"/>
      <c r="JYR34" s="515"/>
      <c r="JYS34" s="515"/>
      <c r="JYT34" s="515"/>
      <c r="JYU34" s="515"/>
      <c r="JYV34" s="515"/>
      <c r="JYW34" s="514"/>
      <c r="JYX34" s="515"/>
      <c r="JYY34" s="515"/>
      <c r="JYZ34" s="515"/>
      <c r="JZA34" s="515"/>
      <c r="JZB34" s="515"/>
      <c r="JZC34" s="515"/>
      <c r="JZD34" s="515"/>
      <c r="JZE34" s="514"/>
      <c r="JZF34" s="515"/>
      <c r="JZG34" s="515"/>
      <c r="JZH34" s="515"/>
      <c r="JZI34" s="515"/>
      <c r="JZJ34" s="515"/>
      <c r="JZK34" s="515"/>
      <c r="JZL34" s="515"/>
      <c r="JZM34" s="514"/>
      <c r="JZN34" s="515"/>
      <c r="JZO34" s="515"/>
      <c r="JZP34" s="515"/>
      <c r="JZQ34" s="515"/>
      <c r="JZR34" s="515"/>
      <c r="JZS34" s="515"/>
      <c r="JZT34" s="515"/>
      <c r="JZU34" s="514"/>
      <c r="JZV34" s="515"/>
      <c r="JZW34" s="515"/>
      <c r="JZX34" s="515"/>
      <c r="JZY34" s="515"/>
      <c r="JZZ34" s="515"/>
      <c r="KAA34" s="515"/>
      <c r="KAB34" s="515"/>
      <c r="KAC34" s="514"/>
      <c r="KAD34" s="515"/>
      <c r="KAE34" s="515"/>
      <c r="KAF34" s="515"/>
      <c r="KAG34" s="515"/>
      <c r="KAH34" s="515"/>
      <c r="KAI34" s="515"/>
      <c r="KAJ34" s="515"/>
      <c r="KAK34" s="514"/>
      <c r="KAL34" s="515"/>
      <c r="KAM34" s="515"/>
      <c r="KAN34" s="515"/>
      <c r="KAO34" s="515"/>
      <c r="KAP34" s="515"/>
      <c r="KAQ34" s="515"/>
      <c r="KAR34" s="515"/>
      <c r="KAS34" s="514"/>
      <c r="KAT34" s="515"/>
      <c r="KAU34" s="515"/>
      <c r="KAV34" s="515"/>
      <c r="KAW34" s="515"/>
      <c r="KAX34" s="515"/>
      <c r="KAY34" s="515"/>
      <c r="KAZ34" s="515"/>
      <c r="KBA34" s="514"/>
      <c r="KBB34" s="515"/>
      <c r="KBC34" s="515"/>
      <c r="KBD34" s="515"/>
      <c r="KBE34" s="515"/>
      <c r="KBF34" s="515"/>
      <c r="KBG34" s="515"/>
      <c r="KBH34" s="515"/>
      <c r="KBI34" s="514"/>
      <c r="KBJ34" s="515"/>
      <c r="KBK34" s="515"/>
      <c r="KBL34" s="515"/>
      <c r="KBM34" s="515"/>
      <c r="KBN34" s="515"/>
      <c r="KBO34" s="515"/>
      <c r="KBP34" s="515"/>
      <c r="KBQ34" s="514"/>
      <c r="KBR34" s="515"/>
      <c r="KBS34" s="515"/>
      <c r="KBT34" s="515"/>
      <c r="KBU34" s="515"/>
      <c r="KBV34" s="515"/>
      <c r="KBW34" s="515"/>
      <c r="KBX34" s="515"/>
      <c r="KBY34" s="514"/>
      <c r="KBZ34" s="515"/>
      <c r="KCA34" s="515"/>
      <c r="KCB34" s="515"/>
      <c r="KCC34" s="515"/>
      <c r="KCD34" s="515"/>
      <c r="KCE34" s="515"/>
      <c r="KCF34" s="515"/>
      <c r="KCG34" s="514"/>
      <c r="KCH34" s="515"/>
      <c r="KCI34" s="515"/>
      <c r="KCJ34" s="515"/>
      <c r="KCK34" s="515"/>
      <c r="KCL34" s="515"/>
      <c r="KCM34" s="515"/>
      <c r="KCN34" s="515"/>
      <c r="KCO34" s="514"/>
      <c r="KCP34" s="515"/>
      <c r="KCQ34" s="515"/>
      <c r="KCR34" s="515"/>
      <c r="KCS34" s="515"/>
      <c r="KCT34" s="515"/>
      <c r="KCU34" s="515"/>
      <c r="KCV34" s="515"/>
      <c r="KCW34" s="514"/>
      <c r="KCX34" s="515"/>
      <c r="KCY34" s="515"/>
      <c r="KCZ34" s="515"/>
      <c r="KDA34" s="515"/>
      <c r="KDB34" s="515"/>
      <c r="KDC34" s="515"/>
      <c r="KDD34" s="515"/>
      <c r="KDE34" s="514"/>
      <c r="KDF34" s="515"/>
      <c r="KDG34" s="515"/>
      <c r="KDH34" s="515"/>
      <c r="KDI34" s="515"/>
      <c r="KDJ34" s="515"/>
      <c r="KDK34" s="515"/>
      <c r="KDL34" s="515"/>
      <c r="KDM34" s="514"/>
      <c r="KDN34" s="515"/>
      <c r="KDO34" s="515"/>
      <c r="KDP34" s="515"/>
      <c r="KDQ34" s="515"/>
      <c r="KDR34" s="515"/>
      <c r="KDS34" s="515"/>
      <c r="KDT34" s="515"/>
      <c r="KDU34" s="514"/>
      <c r="KDV34" s="515"/>
      <c r="KDW34" s="515"/>
      <c r="KDX34" s="515"/>
      <c r="KDY34" s="515"/>
      <c r="KDZ34" s="515"/>
      <c r="KEA34" s="515"/>
      <c r="KEB34" s="515"/>
      <c r="KEC34" s="514"/>
      <c r="KED34" s="515"/>
      <c r="KEE34" s="515"/>
      <c r="KEF34" s="515"/>
      <c r="KEG34" s="515"/>
      <c r="KEH34" s="515"/>
      <c r="KEI34" s="515"/>
      <c r="KEJ34" s="515"/>
      <c r="KEK34" s="514"/>
      <c r="KEL34" s="515"/>
      <c r="KEM34" s="515"/>
      <c r="KEN34" s="515"/>
      <c r="KEO34" s="515"/>
      <c r="KEP34" s="515"/>
      <c r="KEQ34" s="515"/>
      <c r="KER34" s="515"/>
      <c r="KES34" s="514"/>
      <c r="KET34" s="515"/>
      <c r="KEU34" s="515"/>
      <c r="KEV34" s="515"/>
      <c r="KEW34" s="515"/>
      <c r="KEX34" s="515"/>
      <c r="KEY34" s="515"/>
      <c r="KEZ34" s="515"/>
      <c r="KFA34" s="514"/>
      <c r="KFB34" s="515"/>
      <c r="KFC34" s="515"/>
      <c r="KFD34" s="515"/>
      <c r="KFE34" s="515"/>
      <c r="KFF34" s="515"/>
      <c r="KFG34" s="515"/>
      <c r="KFH34" s="515"/>
      <c r="KFI34" s="514"/>
      <c r="KFJ34" s="515"/>
      <c r="KFK34" s="515"/>
      <c r="KFL34" s="515"/>
      <c r="KFM34" s="515"/>
      <c r="KFN34" s="515"/>
      <c r="KFO34" s="515"/>
      <c r="KFP34" s="515"/>
      <c r="KFQ34" s="514"/>
      <c r="KFR34" s="515"/>
      <c r="KFS34" s="515"/>
      <c r="KFT34" s="515"/>
      <c r="KFU34" s="515"/>
      <c r="KFV34" s="515"/>
      <c r="KFW34" s="515"/>
      <c r="KFX34" s="515"/>
      <c r="KFY34" s="514"/>
      <c r="KFZ34" s="515"/>
      <c r="KGA34" s="515"/>
      <c r="KGB34" s="515"/>
      <c r="KGC34" s="515"/>
      <c r="KGD34" s="515"/>
      <c r="KGE34" s="515"/>
      <c r="KGF34" s="515"/>
      <c r="KGG34" s="514"/>
      <c r="KGH34" s="515"/>
      <c r="KGI34" s="515"/>
      <c r="KGJ34" s="515"/>
      <c r="KGK34" s="515"/>
      <c r="KGL34" s="515"/>
      <c r="KGM34" s="515"/>
      <c r="KGN34" s="515"/>
      <c r="KGO34" s="514"/>
      <c r="KGP34" s="515"/>
      <c r="KGQ34" s="515"/>
      <c r="KGR34" s="515"/>
      <c r="KGS34" s="515"/>
      <c r="KGT34" s="515"/>
      <c r="KGU34" s="515"/>
      <c r="KGV34" s="515"/>
      <c r="KGW34" s="514"/>
      <c r="KGX34" s="515"/>
      <c r="KGY34" s="515"/>
      <c r="KGZ34" s="515"/>
      <c r="KHA34" s="515"/>
      <c r="KHB34" s="515"/>
      <c r="KHC34" s="515"/>
      <c r="KHD34" s="515"/>
      <c r="KHE34" s="514"/>
      <c r="KHF34" s="515"/>
      <c r="KHG34" s="515"/>
      <c r="KHH34" s="515"/>
      <c r="KHI34" s="515"/>
      <c r="KHJ34" s="515"/>
      <c r="KHK34" s="515"/>
      <c r="KHL34" s="515"/>
      <c r="KHM34" s="514"/>
      <c r="KHN34" s="515"/>
      <c r="KHO34" s="515"/>
      <c r="KHP34" s="515"/>
      <c r="KHQ34" s="515"/>
      <c r="KHR34" s="515"/>
      <c r="KHS34" s="515"/>
      <c r="KHT34" s="515"/>
      <c r="KHU34" s="514"/>
      <c r="KHV34" s="515"/>
      <c r="KHW34" s="515"/>
      <c r="KHX34" s="515"/>
      <c r="KHY34" s="515"/>
      <c r="KHZ34" s="515"/>
      <c r="KIA34" s="515"/>
      <c r="KIB34" s="515"/>
      <c r="KIC34" s="514"/>
      <c r="KID34" s="515"/>
      <c r="KIE34" s="515"/>
      <c r="KIF34" s="515"/>
      <c r="KIG34" s="515"/>
      <c r="KIH34" s="515"/>
      <c r="KII34" s="515"/>
      <c r="KIJ34" s="515"/>
      <c r="KIK34" s="514"/>
      <c r="KIL34" s="515"/>
      <c r="KIM34" s="515"/>
      <c r="KIN34" s="515"/>
      <c r="KIO34" s="515"/>
      <c r="KIP34" s="515"/>
      <c r="KIQ34" s="515"/>
      <c r="KIR34" s="515"/>
      <c r="KIS34" s="514"/>
      <c r="KIT34" s="515"/>
      <c r="KIU34" s="515"/>
      <c r="KIV34" s="515"/>
      <c r="KIW34" s="515"/>
      <c r="KIX34" s="515"/>
      <c r="KIY34" s="515"/>
      <c r="KIZ34" s="515"/>
      <c r="KJA34" s="514"/>
      <c r="KJB34" s="515"/>
      <c r="KJC34" s="515"/>
      <c r="KJD34" s="515"/>
      <c r="KJE34" s="515"/>
      <c r="KJF34" s="515"/>
      <c r="KJG34" s="515"/>
      <c r="KJH34" s="515"/>
      <c r="KJI34" s="514"/>
      <c r="KJJ34" s="515"/>
      <c r="KJK34" s="515"/>
      <c r="KJL34" s="515"/>
      <c r="KJM34" s="515"/>
      <c r="KJN34" s="515"/>
      <c r="KJO34" s="515"/>
      <c r="KJP34" s="515"/>
      <c r="KJQ34" s="514"/>
      <c r="KJR34" s="515"/>
      <c r="KJS34" s="515"/>
      <c r="KJT34" s="515"/>
      <c r="KJU34" s="515"/>
      <c r="KJV34" s="515"/>
      <c r="KJW34" s="515"/>
      <c r="KJX34" s="515"/>
      <c r="KJY34" s="514"/>
      <c r="KJZ34" s="515"/>
      <c r="KKA34" s="515"/>
      <c r="KKB34" s="515"/>
      <c r="KKC34" s="515"/>
      <c r="KKD34" s="515"/>
      <c r="KKE34" s="515"/>
      <c r="KKF34" s="515"/>
      <c r="KKG34" s="514"/>
      <c r="KKH34" s="515"/>
      <c r="KKI34" s="515"/>
      <c r="KKJ34" s="515"/>
      <c r="KKK34" s="515"/>
      <c r="KKL34" s="515"/>
      <c r="KKM34" s="515"/>
      <c r="KKN34" s="515"/>
      <c r="KKO34" s="514"/>
      <c r="KKP34" s="515"/>
      <c r="KKQ34" s="515"/>
      <c r="KKR34" s="515"/>
      <c r="KKS34" s="515"/>
      <c r="KKT34" s="515"/>
      <c r="KKU34" s="515"/>
      <c r="KKV34" s="515"/>
      <c r="KKW34" s="514"/>
      <c r="KKX34" s="515"/>
      <c r="KKY34" s="515"/>
      <c r="KKZ34" s="515"/>
      <c r="KLA34" s="515"/>
      <c r="KLB34" s="515"/>
      <c r="KLC34" s="515"/>
      <c r="KLD34" s="515"/>
      <c r="KLE34" s="514"/>
      <c r="KLF34" s="515"/>
      <c r="KLG34" s="515"/>
      <c r="KLH34" s="515"/>
      <c r="KLI34" s="515"/>
      <c r="KLJ34" s="515"/>
      <c r="KLK34" s="515"/>
      <c r="KLL34" s="515"/>
      <c r="KLM34" s="514"/>
      <c r="KLN34" s="515"/>
      <c r="KLO34" s="515"/>
      <c r="KLP34" s="515"/>
      <c r="KLQ34" s="515"/>
      <c r="KLR34" s="515"/>
      <c r="KLS34" s="515"/>
      <c r="KLT34" s="515"/>
      <c r="KLU34" s="514"/>
      <c r="KLV34" s="515"/>
      <c r="KLW34" s="515"/>
      <c r="KLX34" s="515"/>
      <c r="KLY34" s="515"/>
      <c r="KLZ34" s="515"/>
      <c r="KMA34" s="515"/>
      <c r="KMB34" s="515"/>
      <c r="KMC34" s="514"/>
      <c r="KMD34" s="515"/>
      <c r="KME34" s="515"/>
      <c r="KMF34" s="515"/>
      <c r="KMG34" s="515"/>
      <c r="KMH34" s="515"/>
      <c r="KMI34" s="515"/>
      <c r="KMJ34" s="515"/>
      <c r="KMK34" s="514"/>
      <c r="KML34" s="515"/>
      <c r="KMM34" s="515"/>
      <c r="KMN34" s="515"/>
      <c r="KMO34" s="515"/>
      <c r="KMP34" s="515"/>
      <c r="KMQ34" s="515"/>
      <c r="KMR34" s="515"/>
      <c r="KMS34" s="514"/>
      <c r="KMT34" s="515"/>
      <c r="KMU34" s="515"/>
      <c r="KMV34" s="515"/>
      <c r="KMW34" s="515"/>
      <c r="KMX34" s="515"/>
      <c r="KMY34" s="515"/>
      <c r="KMZ34" s="515"/>
      <c r="KNA34" s="514"/>
      <c r="KNB34" s="515"/>
      <c r="KNC34" s="515"/>
      <c r="KND34" s="515"/>
      <c r="KNE34" s="515"/>
      <c r="KNF34" s="515"/>
      <c r="KNG34" s="515"/>
      <c r="KNH34" s="515"/>
      <c r="KNI34" s="514"/>
      <c r="KNJ34" s="515"/>
      <c r="KNK34" s="515"/>
      <c r="KNL34" s="515"/>
      <c r="KNM34" s="515"/>
      <c r="KNN34" s="515"/>
      <c r="KNO34" s="515"/>
      <c r="KNP34" s="515"/>
      <c r="KNQ34" s="514"/>
      <c r="KNR34" s="515"/>
      <c r="KNS34" s="515"/>
      <c r="KNT34" s="515"/>
      <c r="KNU34" s="515"/>
      <c r="KNV34" s="515"/>
      <c r="KNW34" s="515"/>
      <c r="KNX34" s="515"/>
      <c r="KNY34" s="514"/>
      <c r="KNZ34" s="515"/>
      <c r="KOA34" s="515"/>
      <c r="KOB34" s="515"/>
      <c r="KOC34" s="515"/>
      <c r="KOD34" s="515"/>
      <c r="KOE34" s="515"/>
      <c r="KOF34" s="515"/>
      <c r="KOG34" s="514"/>
      <c r="KOH34" s="515"/>
      <c r="KOI34" s="515"/>
      <c r="KOJ34" s="515"/>
      <c r="KOK34" s="515"/>
      <c r="KOL34" s="515"/>
      <c r="KOM34" s="515"/>
      <c r="KON34" s="515"/>
      <c r="KOO34" s="514"/>
      <c r="KOP34" s="515"/>
      <c r="KOQ34" s="515"/>
      <c r="KOR34" s="515"/>
      <c r="KOS34" s="515"/>
      <c r="KOT34" s="515"/>
      <c r="KOU34" s="515"/>
      <c r="KOV34" s="515"/>
      <c r="KOW34" s="514"/>
      <c r="KOX34" s="515"/>
      <c r="KOY34" s="515"/>
      <c r="KOZ34" s="515"/>
      <c r="KPA34" s="515"/>
      <c r="KPB34" s="515"/>
      <c r="KPC34" s="515"/>
      <c r="KPD34" s="515"/>
      <c r="KPE34" s="514"/>
      <c r="KPF34" s="515"/>
      <c r="KPG34" s="515"/>
      <c r="KPH34" s="515"/>
      <c r="KPI34" s="515"/>
      <c r="KPJ34" s="515"/>
      <c r="KPK34" s="515"/>
      <c r="KPL34" s="515"/>
      <c r="KPM34" s="514"/>
      <c r="KPN34" s="515"/>
      <c r="KPO34" s="515"/>
      <c r="KPP34" s="515"/>
      <c r="KPQ34" s="515"/>
      <c r="KPR34" s="515"/>
      <c r="KPS34" s="515"/>
      <c r="KPT34" s="515"/>
      <c r="KPU34" s="514"/>
      <c r="KPV34" s="515"/>
      <c r="KPW34" s="515"/>
      <c r="KPX34" s="515"/>
      <c r="KPY34" s="515"/>
      <c r="KPZ34" s="515"/>
      <c r="KQA34" s="515"/>
      <c r="KQB34" s="515"/>
      <c r="KQC34" s="514"/>
      <c r="KQD34" s="515"/>
      <c r="KQE34" s="515"/>
      <c r="KQF34" s="515"/>
      <c r="KQG34" s="515"/>
      <c r="KQH34" s="515"/>
      <c r="KQI34" s="515"/>
      <c r="KQJ34" s="515"/>
      <c r="KQK34" s="514"/>
      <c r="KQL34" s="515"/>
      <c r="KQM34" s="515"/>
      <c r="KQN34" s="515"/>
      <c r="KQO34" s="515"/>
      <c r="KQP34" s="515"/>
      <c r="KQQ34" s="515"/>
      <c r="KQR34" s="515"/>
      <c r="KQS34" s="514"/>
      <c r="KQT34" s="515"/>
      <c r="KQU34" s="515"/>
      <c r="KQV34" s="515"/>
      <c r="KQW34" s="515"/>
      <c r="KQX34" s="515"/>
      <c r="KQY34" s="515"/>
      <c r="KQZ34" s="515"/>
      <c r="KRA34" s="514"/>
      <c r="KRB34" s="515"/>
      <c r="KRC34" s="515"/>
      <c r="KRD34" s="515"/>
      <c r="KRE34" s="515"/>
      <c r="KRF34" s="515"/>
      <c r="KRG34" s="515"/>
      <c r="KRH34" s="515"/>
      <c r="KRI34" s="514"/>
      <c r="KRJ34" s="515"/>
      <c r="KRK34" s="515"/>
      <c r="KRL34" s="515"/>
      <c r="KRM34" s="515"/>
      <c r="KRN34" s="515"/>
      <c r="KRO34" s="515"/>
      <c r="KRP34" s="515"/>
      <c r="KRQ34" s="514"/>
      <c r="KRR34" s="515"/>
      <c r="KRS34" s="515"/>
      <c r="KRT34" s="515"/>
      <c r="KRU34" s="515"/>
      <c r="KRV34" s="515"/>
      <c r="KRW34" s="515"/>
      <c r="KRX34" s="515"/>
      <c r="KRY34" s="514"/>
      <c r="KRZ34" s="515"/>
      <c r="KSA34" s="515"/>
      <c r="KSB34" s="515"/>
      <c r="KSC34" s="515"/>
      <c r="KSD34" s="515"/>
      <c r="KSE34" s="515"/>
      <c r="KSF34" s="515"/>
      <c r="KSG34" s="514"/>
      <c r="KSH34" s="515"/>
      <c r="KSI34" s="515"/>
      <c r="KSJ34" s="515"/>
      <c r="KSK34" s="515"/>
      <c r="KSL34" s="515"/>
      <c r="KSM34" s="515"/>
      <c r="KSN34" s="515"/>
      <c r="KSO34" s="514"/>
      <c r="KSP34" s="515"/>
      <c r="KSQ34" s="515"/>
      <c r="KSR34" s="515"/>
      <c r="KSS34" s="515"/>
      <c r="KST34" s="515"/>
      <c r="KSU34" s="515"/>
      <c r="KSV34" s="515"/>
      <c r="KSW34" s="514"/>
      <c r="KSX34" s="515"/>
      <c r="KSY34" s="515"/>
      <c r="KSZ34" s="515"/>
      <c r="KTA34" s="515"/>
      <c r="KTB34" s="515"/>
      <c r="KTC34" s="515"/>
      <c r="KTD34" s="515"/>
      <c r="KTE34" s="514"/>
      <c r="KTF34" s="515"/>
      <c r="KTG34" s="515"/>
      <c r="KTH34" s="515"/>
      <c r="KTI34" s="515"/>
      <c r="KTJ34" s="515"/>
      <c r="KTK34" s="515"/>
      <c r="KTL34" s="515"/>
      <c r="KTM34" s="514"/>
      <c r="KTN34" s="515"/>
      <c r="KTO34" s="515"/>
      <c r="KTP34" s="515"/>
      <c r="KTQ34" s="515"/>
      <c r="KTR34" s="515"/>
      <c r="KTS34" s="515"/>
      <c r="KTT34" s="515"/>
      <c r="KTU34" s="514"/>
      <c r="KTV34" s="515"/>
      <c r="KTW34" s="515"/>
      <c r="KTX34" s="515"/>
      <c r="KTY34" s="515"/>
      <c r="KTZ34" s="515"/>
      <c r="KUA34" s="515"/>
      <c r="KUB34" s="515"/>
      <c r="KUC34" s="514"/>
      <c r="KUD34" s="515"/>
      <c r="KUE34" s="515"/>
      <c r="KUF34" s="515"/>
      <c r="KUG34" s="515"/>
      <c r="KUH34" s="515"/>
      <c r="KUI34" s="515"/>
      <c r="KUJ34" s="515"/>
      <c r="KUK34" s="514"/>
      <c r="KUL34" s="515"/>
      <c r="KUM34" s="515"/>
      <c r="KUN34" s="515"/>
      <c r="KUO34" s="515"/>
      <c r="KUP34" s="515"/>
      <c r="KUQ34" s="515"/>
      <c r="KUR34" s="515"/>
      <c r="KUS34" s="514"/>
      <c r="KUT34" s="515"/>
      <c r="KUU34" s="515"/>
      <c r="KUV34" s="515"/>
      <c r="KUW34" s="515"/>
      <c r="KUX34" s="515"/>
      <c r="KUY34" s="515"/>
      <c r="KUZ34" s="515"/>
      <c r="KVA34" s="514"/>
      <c r="KVB34" s="515"/>
      <c r="KVC34" s="515"/>
      <c r="KVD34" s="515"/>
      <c r="KVE34" s="515"/>
      <c r="KVF34" s="515"/>
      <c r="KVG34" s="515"/>
      <c r="KVH34" s="515"/>
      <c r="KVI34" s="514"/>
      <c r="KVJ34" s="515"/>
      <c r="KVK34" s="515"/>
      <c r="KVL34" s="515"/>
      <c r="KVM34" s="515"/>
      <c r="KVN34" s="515"/>
      <c r="KVO34" s="515"/>
      <c r="KVP34" s="515"/>
      <c r="KVQ34" s="514"/>
      <c r="KVR34" s="515"/>
      <c r="KVS34" s="515"/>
      <c r="KVT34" s="515"/>
      <c r="KVU34" s="515"/>
      <c r="KVV34" s="515"/>
      <c r="KVW34" s="515"/>
      <c r="KVX34" s="515"/>
      <c r="KVY34" s="514"/>
      <c r="KVZ34" s="515"/>
      <c r="KWA34" s="515"/>
      <c r="KWB34" s="515"/>
      <c r="KWC34" s="515"/>
      <c r="KWD34" s="515"/>
      <c r="KWE34" s="515"/>
      <c r="KWF34" s="515"/>
      <c r="KWG34" s="514"/>
      <c r="KWH34" s="515"/>
      <c r="KWI34" s="515"/>
      <c r="KWJ34" s="515"/>
      <c r="KWK34" s="515"/>
      <c r="KWL34" s="515"/>
      <c r="KWM34" s="515"/>
      <c r="KWN34" s="515"/>
      <c r="KWO34" s="514"/>
      <c r="KWP34" s="515"/>
      <c r="KWQ34" s="515"/>
      <c r="KWR34" s="515"/>
      <c r="KWS34" s="515"/>
      <c r="KWT34" s="515"/>
      <c r="KWU34" s="515"/>
      <c r="KWV34" s="515"/>
      <c r="KWW34" s="514"/>
      <c r="KWX34" s="515"/>
      <c r="KWY34" s="515"/>
      <c r="KWZ34" s="515"/>
      <c r="KXA34" s="515"/>
      <c r="KXB34" s="515"/>
      <c r="KXC34" s="515"/>
      <c r="KXD34" s="515"/>
      <c r="KXE34" s="514"/>
      <c r="KXF34" s="515"/>
      <c r="KXG34" s="515"/>
      <c r="KXH34" s="515"/>
      <c r="KXI34" s="515"/>
      <c r="KXJ34" s="515"/>
      <c r="KXK34" s="515"/>
      <c r="KXL34" s="515"/>
      <c r="KXM34" s="514"/>
      <c r="KXN34" s="515"/>
      <c r="KXO34" s="515"/>
      <c r="KXP34" s="515"/>
      <c r="KXQ34" s="515"/>
      <c r="KXR34" s="515"/>
      <c r="KXS34" s="515"/>
      <c r="KXT34" s="515"/>
      <c r="KXU34" s="514"/>
      <c r="KXV34" s="515"/>
      <c r="KXW34" s="515"/>
      <c r="KXX34" s="515"/>
      <c r="KXY34" s="515"/>
      <c r="KXZ34" s="515"/>
      <c r="KYA34" s="515"/>
      <c r="KYB34" s="515"/>
      <c r="KYC34" s="514"/>
      <c r="KYD34" s="515"/>
      <c r="KYE34" s="515"/>
      <c r="KYF34" s="515"/>
      <c r="KYG34" s="515"/>
      <c r="KYH34" s="515"/>
      <c r="KYI34" s="515"/>
      <c r="KYJ34" s="515"/>
      <c r="KYK34" s="514"/>
      <c r="KYL34" s="515"/>
      <c r="KYM34" s="515"/>
      <c r="KYN34" s="515"/>
      <c r="KYO34" s="515"/>
      <c r="KYP34" s="515"/>
      <c r="KYQ34" s="515"/>
      <c r="KYR34" s="515"/>
      <c r="KYS34" s="514"/>
      <c r="KYT34" s="515"/>
      <c r="KYU34" s="515"/>
      <c r="KYV34" s="515"/>
      <c r="KYW34" s="515"/>
      <c r="KYX34" s="515"/>
      <c r="KYY34" s="515"/>
      <c r="KYZ34" s="515"/>
      <c r="KZA34" s="514"/>
      <c r="KZB34" s="515"/>
      <c r="KZC34" s="515"/>
      <c r="KZD34" s="515"/>
      <c r="KZE34" s="515"/>
      <c r="KZF34" s="515"/>
      <c r="KZG34" s="515"/>
      <c r="KZH34" s="515"/>
      <c r="KZI34" s="514"/>
      <c r="KZJ34" s="515"/>
      <c r="KZK34" s="515"/>
      <c r="KZL34" s="515"/>
      <c r="KZM34" s="515"/>
      <c r="KZN34" s="515"/>
      <c r="KZO34" s="515"/>
      <c r="KZP34" s="515"/>
      <c r="KZQ34" s="514"/>
      <c r="KZR34" s="515"/>
      <c r="KZS34" s="515"/>
      <c r="KZT34" s="515"/>
      <c r="KZU34" s="515"/>
      <c r="KZV34" s="515"/>
      <c r="KZW34" s="515"/>
      <c r="KZX34" s="515"/>
      <c r="KZY34" s="514"/>
      <c r="KZZ34" s="515"/>
      <c r="LAA34" s="515"/>
      <c r="LAB34" s="515"/>
      <c r="LAC34" s="515"/>
      <c r="LAD34" s="515"/>
      <c r="LAE34" s="515"/>
      <c r="LAF34" s="515"/>
      <c r="LAG34" s="514"/>
      <c r="LAH34" s="515"/>
      <c r="LAI34" s="515"/>
      <c r="LAJ34" s="515"/>
      <c r="LAK34" s="515"/>
      <c r="LAL34" s="515"/>
      <c r="LAM34" s="515"/>
      <c r="LAN34" s="515"/>
      <c r="LAO34" s="514"/>
      <c r="LAP34" s="515"/>
      <c r="LAQ34" s="515"/>
      <c r="LAR34" s="515"/>
      <c r="LAS34" s="515"/>
      <c r="LAT34" s="515"/>
      <c r="LAU34" s="515"/>
      <c r="LAV34" s="515"/>
      <c r="LAW34" s="514"/>
      <c r="LAX34" s="515"/>
      <c r="LAY34" s="515"/>
      <c r="LAZ34" s="515"/>
      <c r="LBA34" s="515"/>
      <c r="LBB34" s="515"/>
      <c r="LBC34" s="515"/>
      <c r="LBD34" s="515"/>
      <c r="LBE34" s="514"/>
      <c r="LBF34" s="515"/>
      <c r="LBG34" s="515"/>
      <c r="LBH34" s="515"/>
      <c r="LBI34" s="515"/>
      <c r="LBJ34" s="515"/>
      <c r="LBK34" s="515"/>
      <c r="LBL34" s="515"/>
      <c r="LBM34" s="514"/>
      <c r="LBN34" s="515"/>
      <c r="LBO34" s="515"/>
      <c r="LBP34" s="515"/>
      <c r="LBQ34" s="515"/>
      <c r="LBR34" s="515"/>
      <c r="LBS34" s="515"/>
      <c r="LBT34" s="515"/>
      <c r="LBU34" s="514"/>
      <c r="LBV34" s="515"/>
      <c r="LBW34" s="515"/>
      <c r="LBX34" s="515"/>
      <c r="LBY34" s="515"/>
      <c r="LBZ34" s="515"/>
      <c r="LCA34" s="515"/>
      <c r="LCB34" s="515"/>
      <c r="LCC34" s="514"/>
      <c r="LCD34" s="515"/>
      <c r="LCE34" s="515"/>
      <c r="LCF34" s="515"/>
      <c r="LCG34" s="515"/>
      <c r="LCH34" s="515"/>
      <c r="LCI34" s="515"/>
      <c r="LCJ34" s="515"/>
      <c r="LCK34" s="514"/>
      <c r="LCL34" s="515"/>
      <c r="LCM34" s="515"/>
      <c r="LCN34" s="515"/>
      <c r="LCO34" s="515"/>
      <c r="LCP34" s="515"/>
      <c r="LCQ34" s="515"/>
      <c r="LCR34" s="515"/>
      <c r="LCS34" s="514"/>
      <c r="LCT34" s="515"/>
      <c r="LCU34" s="515"/>
      <c r="LCV34" s="515"/>
      <c r="LCW34" s="515"/>
      <c r="LCX34" s="515"/>
      <c r="LCY34" s="515"/>
      <c r="LCZ34" s="515"/>
      <c r="LDA34" s="514"/>
      <c r="LDB34" s="515"/>
      <c r="LDC34" s="515"/>
      <c r="LDD34" s="515"/>
      <c r="LDE34" s="515"/>
      <c r="LDF34" s="515"/>
      <c r="LDG34" s="515"/>
      <c r="LDH34" s="515"/>
      <c r="LDI34" s="514"/>
      <c r="LDJ34" s="515"/>
      <c r="LDK34" s="515"/>
      <c r="LDL34" s="515"/>
      <c r="LDM34" s="515"/>
      <c r="LDN34" s="515"/>
      <c r="LDO34" s="515"/>
      <c r="LDP34" s="515"/>
      <c r="LDQ34" s="514"/>
      <c r="LDR34" s="515"/>
      <c r="LDS34" s="515"/>
      <c r="LDT34" s="515"/>
      <c r="LDU34" s="515"/>
      <c r="LDV34" s="515"/>
      <c r="LDW34" s="515"/>
      <c r="LDX34" s="515"/>
      <c r="LDY34" s="514"/>
      <c r="LDZ34" s="515"/>
      <c r="LEA34" s="515"/>
      <c r="LEB34" s="515"/>
      <c r="LEC34" s="515"/>
      <c r="LED34" s="515"/>
      <c r="LEE34" s="515"/>
      <c r="LEF34" s="515"/>
      <c r="LEG34" s="514"/>
      <c r="LEH34" s="515"/>
      <c r="LEI34" s="515"/>
      <c r="LEJ34" s="515"/>
      <c r="LEK34" s="515"/>
      <c r="LEL34" s="515"/>
      <c r="LEM34" s="515"/>
      <c r="LEN34" s="515"/>
      <c r="LEO34" s="514"/>
      <c r="LEP34" s="515"/>
      <c r="LEQ34" s="515"/>
      <c r="LER34" s="515"/>
      <c r="LES34" s="515"/>
      <c r="LET34" s="515"/>
      <c r="LEU34" s="515"/>
      <c r="LEV34" s="515"/>
      <c r="LEW34" s="514"/>
      <c r="LEX34" s="515"/>
      <c r="LEY34" s="515"/>
      <c r="LEZ34" s="515"/>
      <c r="LFA34" s="515"/>
      <c r="LFB34" s="515"/>
      <c r="LFC34" s="515"/>
      <c r="LFD34" s="515"/>
      <c r="LFE34" s="514"/>
      <c r="LFF34" s="515"/>
      <c r="LFG34" s="515"/>
      <c r="LFH34" s="515"/>
      <c r="LFI34" s="515"/>
      <c r="LFJ34" s="515"/>
      <c r="LFK34" s="515"/>
      <c r="LFL34" s="515"/>
      <c r="LFM34" s="514"/>
      <c r="LFN34" s="515"/>
      <c r="LFO34" s="515"/>
      <c r="LFP34" s="515"/>
      <c r="LFQ34" s="515"/>
      <c r="LFR34" s="515"/>
      <c r="LFS34" s="515"/>
      <c r="LFT34" s="515"/>
      <c r="LFU34" s="514"/>
      <c r="LFV34" s="515"/>
      <c r="LFW34" s="515"/>
      <c r="LFX34" s="515"/>
      <c r="LFY34" s="515"/>
      <c r="LFZ34" s="515"/>
      <c r="LGA34" s="515"/>
      <c r="LGB34" s="515"/>
      <c r="LGC34" s="514"/>
      <c r="LGD34" s="515"/>
      <c r="LGE34" s="515"/>
      <c r="LGF34" s="515"/>
      <c r="LGG34" s="515"/>
      <c r="LGH34" s="515"/>
      <c r="LGI34" s="515"/>
      <c r="LGJ34" s="515"/>
      <c r="LGK34" s="514"/>
      <c r="LGL34" s="515"/>
      <c r="LGM34" s="515"/>
      <c r="LGN34" s="515"/>
      <c r="LGO34" s="515"/>
      <c r="LGP34" s="515"/>
      <c r="LGQ34" s="515"/>
      <c r="LGR34" s="515"/>
      <c r="LGS34" s="514"/>
      <c r="LGT34" s="515"/>
      <c r="LGU34" s="515"/>
      <c r="LGV34" s="515"/>
      <c r="LGW34" s="515"/>
      <c r="LGX34" s="515"/>
      <c r="LGY34" s="515"/>
      <c r="LGZ34" s="515"/>
      <c r="LHA34" s="514"/>
      <c r="LHB34" s="515"/>
      <c r="LHC34" s="515"/>
      <c r="LHD34" s="515"/>
      <c r="LHE34" s="515"/>
      <c r="LHF34" s="515"/>
      <c r="LHG34" s="515"/>
      <c r="LHH34" s="515"/>
      <c r="LHI34" s="514"/>
      <c r="LHJ34" s="515"/>
      <c r="LHK34" s="515"/>
      <c r="LHL34" s="515"/>
      <c r="LHM34" s="515"/>
      <c r="LHN34" s="515"/>
      <c r="LHO34" s="515"/>
      <c r="LHP34" s="515"/>
      <c r="LHQ34" s="514"/>
      <c r="LHR34" s="515"/>
      <c r="LHS34" s="515"/>
      <c r="LHT34" s="515"/>
      <c r="LHU34" s="515"/>
      <c r="LHV34" s="515"/>
      <c r="LHW34" s="515"/>
      <c r="LHX34" s="515"/>
      <c r="LHY34" s="514"/>
      <c r="LHZ34" s="515"/>
      <c r="LIA34" s="515"/>
      <c r="LIB34" s="515"/>
      <c r="LIC34" s="515"/>
      <c r="LID34" s="515"/>
      <c r="LIE34" s="515"/>
      <c r="LIF34" s="515"/>
      <c r="LIG34" s="514"/>
      <c r="LIH34" s="515"/>
      <c r="LII34" s="515"/>
      <c r="LIJ34" s="515"/>
      <c r="LIK34" s="515"/>
      <c r="LIL34" s="515"/>
      <c r="LIM34" s="515"/>
      <c r="LIN34" s="515"/>
      <c r="LIO34" s="514"/>
      <c r="LIP34" s="515"/>
      <c r="LIQ34" s="515"/>
      <c r="LIR34" s="515"/>
      <c r="LIS34" s="515"/>
      <c r="LIT34" s="515"/>
      <c r="LIU34" s="515"/>
      <c r="LIV34" s="515"/>
      <c r="LIW34" s="514"/>
      <c r="LIX34" s="515"/>
      <c r="LIY34" s="515"/>
      <c r="LIZ34" s="515"/>
      <c r="LJA34" s="515"/>
      <c r="LJB34" s="515"/>
      <c r="LJC34" s="515"/>
      <c r="LJD34" s="515"/>
      <c r="LJE34" s="514"/>
      <c r="LJF34" s="515"/>
      <c r="LJG34" s="515"/>
      <c r="LJH34" s="515"/>
      <c r="LJI34" s="515"/>
      <c r="LJJ34" s="515"/>
      <c r="LJK34" s="515"/>
      <c r="LJL34" s="515"/>
      <c r="LJM34" s="514"/>
      <c r="LJN34" s="515"/>
      <c r="LJO34" s="515"/>
      <c r="LJP34" s="515"/>
      <c r="LJQ34" s="515"/>
      <c r="LJR34" s="515"/>
      <c r="LJS34" s="515"/>
      <c r="LJT34" s="515"/>
      <c r="LJU34" s="514"/>
      <c r="LJV34" s="515"/>
      <c r="LJW34" s="515"/>
      <c r="LJX34" s="515"/>
      <c r="LJY34" s="515"/>
      <c r="LJZ34" s="515"/>
      <c r="LKA34" s="515"/>
      <c r="LKB34" s="515"/>
      <c r="LKC34" s="514"/>
      <c r="LKD34" s="515"/>
      <c r="LKE34" s="515"/>
      <c r="LKF34" s="515"/>
      <c r="LKG34" s="515"/>
      <c r="LKH34" s="515"/>
      <c r="LKI34" s="515"/>
      <c r="LKJ34" s="515"/>
      <c r="LKK34" s="514"/>
      <c r="LKL34" s="515"/>
      <c r="LKM34" s="515"/>
      <c r="LKN34" s="515"/>
      <c r="LKO34" s="515"/>
      <c r="LKP34" s="515"/>
      <c r="LKQ34" s="515"/>
      <c r="LKR34" s="515"/>
      <c r="LKS34" s="514"/>
      <c r="LKT34" s="515"/>
      <c r="LKU34" s="515"/>
      <c r="LKV34" s="515"/>
      <c r="LKW34" s="515"/>
      <c r="LKX34" s="515"/>
      <c r="LKY34" s="515"/>
      <c r="LKZ34" s="515"/>
      <c r="LLA34" s="514"/>
      <c r="LLB34" s="515"/>
      <c r="LLC34" s="515"/>
      <c r="LLD34" s="515"/>
      <c r="LLE34" s="515"/>
      <c r="LLF34" s="515"/>
      <c r="LLG34" s="515"/>
      <c r="LLH34" s="515"/>
      <c r="LLI34" s="514"/>
      <c r="LLJ34" s="515"/>
      <c r="LLK34" s="515"/>
      <c r="LLL34" s="515"/>
      <c r="LLM34" s="515"/>
      <c r="LLN34" s="515"/>
      <c r="LLO34" s="515"/>
      <c r="LLP34" s="515"/>
      <c r="LLQ34" s="514"/>
      <c r="LLR34" s="515"/>
      <c r="LLS34" s="515"/>
      <c r="LLT34" s="515"/>
      <c r="LLU34" s="515"/>
      <c r="LLV34" s="515"/>
      <c r="LLW34" s="515"/>
      <c r="LLX34" s="515"/>
      <c r="LLY34" s="514"/>
      <c r="LLZ34" s="515"/>
      <c r="LMA34" s="515"/>
      <c r="LMB34" s="515"/>
      <c r="LMC34" s="515"/>
      <c r="LMD34" s="515"/>
      <c r="LME34" s="515"/>
      <c r="LMF34" s="515"/>
      <c r="LMG34" s="514"/>
      <c r="LMH34" s="515"/>
      <c r="LMI34" s="515"/>
      <c r="LMJ34" s="515"/>
      <c r="LMK34" s="515"/>
      <c r="LML34" s="515"/>
      <c r="LMM34" s="515"/>
      <c r="LMN34" s="515"/>
      <c r="LMO34" s="514"/>
      <c r="LMP34" s="515"/>
      <c r="LMQ34" s="515"/>
      <c r="LMR34" s="515"/>
      <c r="LMS34" s="515"/>
      <c r="LMT34" s="515"/>
      <c r="LMU34" s="515"/>
      <c r="LMV34" s="515"/>
      <c r="LMW34" s="514"/>
      <c r="LMX34" s="515"/>
      <c r="LMY34" s="515"/>
      <c r="LMZ34" s="515"/>
      <c r="LNA34" s="515"/>
      <c r="LNB34" s="515"/>
      <c r="LNC34" s="515"/>
      <c r="LND34" s="515"/>
      <c r="LNE34" s="514"/>
      <c r="LNF34" s="515"/>
      <c r="LNG34" s="515"/>
      <c r="LNH34" s="515"/>
      <c r="LNI34" s="515"/>
      <c r="LNJ34" s="515"/>
      <c r="LNK34" s="515"/>
      <c r="LNL34" s="515"/>
      <c r="LNM34" s="514"/>
      <c r="LNN34" s="515"/>
      <c r="LNO34" s="515"/>
      <c r="LNP34" s="515"/>
      <c r="LNQ34" s="515"/>
      <c r="LNR34" s="515"/>
      <c r="LNS34" s="515"/>
      <c r="LNT34" s="515"/>
      <c r="LNU34" s="514"/>
      <c r="LNV34" s="515"/>
      <c r="LNW34" s="515"/>
      <c r="LNX34" s="515"/>
      <c r="LNY34" s="515"/>
      <c r="LNZ34" s="515"/>
      <c r="LOA34" s="515"/>
      <c r="LOB34" s="515"/>
      <c r="LOC34" s="514"/>
      <c r="LOD34" s="515"/>
      <c r="LOE34" s="515"/>
      <c r="LOF34" s="515"/>
      <c r="LOG34" s="515"/>
      <c r="LOH34" s="515"/>
      <c r="LOI34" s="515"/>
      <c r="LOJ34" s="515"/>
      <c r="LOK34" s="514"/>
      <c r="LOL34" s="515"/>
      <c r="LOM34" s="515"/>
      <c r="LON34" s="515"/>
      <c r="LOO34" s="515"/>
      <c r="LOP34" s="515"/>
      <c r="LOQ34" s="515"/>
      <c r="LOR34" s="515"/>
      <c r="LOS34" s="514"/>
      <c r="LOT34" s="515"/>
      <c r="LOU34" s="515"/>
      <c r="LOV34" s="515"/>
      <c r="LOW34" s="515"/>
      <c r="LOX34" s="515"/>
      <c r="LOY34" s="515"/>
      <c r="LOZ34" s="515"/>
      <c r="LPA34" s="514"/>
      <c r="LPB34" s="515"/>
      <c r="LPC34" s="515"/>
      <c r="LPD34" s="515"/>
      <c r="LPE34" s="515"/>
      <c r="LPF34" s="515"/>
      <c r="LPG34" s="515"/>
      <c r="LPH34" s="515"/>
      <c r="LPI34" s="514"/>
      <c r="LPJ34" s="515"/>
      <c r="LPK34" s="515"/>
      <c r="LPL34" s="515"/>
      <c r="LPM34" s="515"/>
      <c r="LPN34" s="515"/>
      <c r="LPO34" s="515"/>
      <c r="LPP34" s="515"/>
      <c r="LPQ34" s="514"/>
      <c r="LPR34" s="515"/>
      <c r="LPS34" s="515"/>
      <c r="LPT34" s="515"/>
      <c r="LPU34" s="515"/>
      <c r="LPV34" s="515"/>
      <c r="LPW34" s="515"/>
      <c r="LPX34" s="515"/>
      <c r="LPY34" s="514"/>
      <c r="LPZ34" s="515"/>
      <c r="LQA34" s="515"/>
      <c r="LQB34" s="515"/>
      <c r="LQC34" s="515"/>
      <c r="LQD34" s="515"/>
      <c r="LQE34" s="515"/>
      <c r="LQF34" s="515"/>
      <c r="LQG34" s="514"/>
      <c r="LQH34" s="515"/>
      <c r="LQI34" s="515"/>
      <c r="LQJ34" s="515"/>
      <c r="LQK34" s="515"/>
      <c r="LQL34" s="515"/>
      <c r="LQM34" s="515"/>
      <c r="LQN34" s="515"/>
      <c r="LQO34" s="514"/>
      <c r="LQP34" s="515"/>
      <c r="LQQ34" s="515"/>
      <c r="LQR34" s="515"/>
      <c r="LQS34" s="515"/>
      <c r="LQT34" s="515"/>
      <c r="LQU34" s="515"/>
      <c r="LQV34" s="515"/>
      <c r="LQW34" s="514"/>
      <c r="LQX34" s="515"/>
      <c r="LQY34" s="515"/>
      <c r="LQZ34" s="515"/>
      <c r="LRA34" s="515"/>
      <c r="LRB34" s="515"/>
      <c r="LRC34" s="515"/>
      <c r="LRD34" s="515"/>
      <c r="LRE34" s="514"/>
      <c r="LRF34" s="515"/>
      <c r="LRG34" s="515"/>
      <c r="LRH34" s="515"/>
      <c r="LRI34" s="515"/>
      <c r="LRJ34" s="515"/>
      <c r="LRK34" s="515"/>
      <c r="LRL34" s="515"/>
      <c r="LRM34" s="514"/>
      <c r="LRN34" s="515"/>
      <c r="LRO34" s="515"/>
      <c r="LRP34" s="515"/>
      <c r="LRQ34" s="515"/>
      <c r="LRR34" s="515"/>
      <c r="LRS34" s="515"/>
      <c r="LRT34" s="515"/>
      <c r="LRU34" s="514"/>
      <c r="LRV34" s="515"/>
      <c r="LRW34" s="515"/>
      <c r="LRX34" s="515"/>
      <c r="LRY34" s="515"/>
      <c r="LRZ34" s="515"/>
      <c r="LSA34" s="515"/>
      <c r="LSB34" s="515"/>
      <c r="LSC34" s="514"/>
      <c r="LSD34" s="515"/>
      <c r="LSE34" s="515"/>
      <c r="LSF34" s="515"/>
      <c r="LSG34" s="515"/>
      <c r="LSH34" s="515"/>
      <c r="LSI34" s="515"/>
      <c r="LSJ34" s="515"/>
      <c r="LSK34" s="514"/>
      <c r="LSL34" s="515"/>
      <c r="LSM34" s="515"/>
      <c r="LSN34" s="515"/>
      <c r="LSO34" s="515"/>
      <c r="LSP34" s="515"/>
      <c r="LSQ34" s="515"/>
      <c r="LSR34" s="515"/>
      <c r="LSS34" s="514"/>
      <c r="LST34" s="515"/>
      <c r="LSU34" s="515"/>
      <c r="LSV34" s="515"/>
      <c r="LSW34" s="515"/>
      <c r="LSX34" s="515"/>
      <c r="LSY34" s="515"/>
      <c r="LSZ34" s="515"/>
      <c r="LTA34" s="514"/>
      <c r="LTB34" s="515"/>
      <c r="LTC34" s="515"/>
      <c r="LTD34" s="515"/>
      <c r="LTE34" s="515"/>
      <c r="LTF34" s="515"/>
      <c r="LTG34" s="515"/>
      <c r="LTH34" s="515"/>
      <c r="LTI34" s="514"/>
      <c r="LTJ34" s="515"/>
      <c r="LTK34" s="515"/>
      <c r="LTL34" s="515"/>
      <c r="LTM34" s="515"/>
      <c r="LTN34" s="515"/>
      <c r="LTO34" s="515"/>
      <c r="LTP34" s="515"/>
      <c r="LTQ34" s="514"/>
      <c r="LTR34" s="515"/>
      <c r="LTS34" s="515"/>
      <c r="LTT34" s="515"/>
      <c r="LTU34" s="515"/>
      <c r="LTV34" s="515"/>
      <c r="LTW34" s="515"/>
      <c r="LTX34" s="515"/>
      <c r="LTY34" s="514"/>
      <c r="LTZ34" s="515"/>
      <c r="LUA34" s="515"/>
      <c r="LUB34" s="515"/>
      <c r="LUC34" s="515"/>
      <c r="LUD34" s="515"/>
      <c r="LUE34" s="515"/>
      <c r="LUF34" s="515"/>
      <c r="LUG34" s="514"/>
      <c r="LUH34" s="515"/>
      <c r="LUI34" s="515"/>
      <c r="LUJ34" s="515"/>
      <c r="LUK34" s="515"/>
      <c r="LUL34" s="515"/>
      <c r="LUM34" s="515"/>
      <c r="LUN34" s="515"/>
      <c r="LUO34" s="514"/>
      <c r="LUP34" s="515"/>
      <c r="LUQ34" s="515"/>
      <c r="LUR34" s="515"/>
      <c r="LUS34" s="515"/>
      <c r="LUT34" s="515"/>
      <c r="LUU34" s="515"/>
      <c r="LUV34" s="515"/>
      <c r="LUW34" s="514"/>
      <c r="LUX34" s="515"/>
      <c r="LUY34" s="515"/>
      <c r="LUZ34" s="515"/>
      <c r="LVA34" s="515"/>
      <c r="LVB34" s="515"/>
      <c r="LVC34" s="515"/>
      <c r="LVD34" s="515"/>
      <c r="LVE34" s="514"/>
      <c r="LVF34" s="515"/>
      <c r="LVG34" s="515"/>
      <c r="LVH34" s="515"/>
      <c r="LVI34" s="515"/>
      <c r="LVJ34" s="515"/>
      <c r="LVK34" s="515"/>
      <c r="LVL34" s="515"/>
      <c r="LVM34" s="514"/>
      <c r="LVN34" s="515"/>
      <c r="LVO34" s="515"/>
      <c r="LVP34" s="515"/>
      <c r="LVQ34" s="515"/>
      <c r="LVR34" s="515"/>
      <c r="LVS34" s="515"/>
      <c r="LVT34" s="515"/>
      <c r="LVU34" s="514"/>
      <c r="LVV34" s="515"/>
      <c r="LVW34" s="515"/>
      <c r="LVX34" s="515"/>
      <c r="LVY34" s="515"/>
      <c r="LVZ34" s="515"/>
      <c r="LWA34" s="515"/>
      <c r="LWB34" s="515"/>
      <c r="LWC34" s="514"/>
      <c r="LWD34" s="515"/>
      <c r="LWE34" s="515"/>
      <c r="LWF34" s="515"/>
      <c r="LWG34" s="515"/>
      <c r="LWH34" s="515"/>
      <c r="LWI34" s="515"/>
      <c r="LWJ34" s="515"/>
      <c r="LWK34" s="514"/>
      <c r="LWL34" s="515"/>
      <c r="LWM34" s="515"/>
      <c r="LWN34" s="515"/>
      <c r="LWO34" s="515"/>
      <c r="LWP34" s="515"/>
      <c r="LWQ34" s="515"/>
      <c r="LWR34" s="515"/>
      <c r="LWS34" s="514"/>
      <c r="LWT34" s="515"/>
      <c r="LWU34" s="515"/>
      <c r="LWV34" s="515"/>
      <c r="LWW34" s="515"/>
      <c r="LWX34" s="515"/>
      <c r="LWY34" s="515"/>
      <c r="LWZ34" s="515"/>
      <c r="LXA34" s="514"/>
      <c r="LXB34" s="515"/>
      <c r="LXC34" s="515"/>
      <c r="LXD34" s="515"/>
      <c r="LXE34" s="515"/>
      <c r="LXF34" s="515"/>
      <c r="LXG34" s="515"/>
      <c r="LXH34" s="515"/>
      <c r="LXI34" s="514"/>
      <c r="LXJ34" s="515"/>
      <c r="LXK34" s="515"/>
      <c r="LXL34" s="515"/>
      <c r="LXM34" s="515"/>
      <c r="LXN34" s="515"/>
      <c r="LXO34" s="515"/>
      <c r="LXP34" s="515"/>
      <c r="LXQ34" s="514"/>
      <c r="LXR34" s="515"/>
      <c r="LXS34" s="515"/>
      <c r="LXT34" s="515"/>
      <c r="LXU34" s="515"/>
      <c r="LXV34" s="515"/>
      <c r="LXW34" s="515"/>
      <c r="LXX34" s="515"/>
      <c r="LXY34" s="514"/>
      <c r="LXZ34" s="515"/>
      <c r="LYA34" s="515"/>
      <c r="LYB34" s="515"/>
      <c r="LYC34" s="515"/>
      <c r="LYD34" s="515"/>
      <c r="LYE34" s="515"/>
      <c r="LYF34" s="515"/>
      <c r="LYG34" s="514"/>
      <c r="LYH34" s="515"/>
      <c r="LYI34" s="515"/>
      <c r="LYJ34" s="515"/>
      <c r="LYK34" s="515"/>
      <c r="LYL34" s="515"/>
      <c r="LYM34" s="515"/>
      <c r="LYN34" s="515"/>
      <c r="LYO34" s="514"/>
      <c r="LYP34" s="515"/>
      <c r="LYQ34" s="515"/>
      <c r="LYR34" s="515"/>
      <c r="LYS34" s="515"/>
      <c r="LYT34" s="515"/>
      <c r="LYU34" s="515"/>
      <c r="LYV34" s="515"/>
      <c r="LYW34" s="514"/>
      <c r="LYX34" s="515"/>
      <c r="LYY34" s="515"/>
      <c r="LYZ34" s="515"/>
      <c r="LZA34" s="515"/>
      <c r="LZB34" s="515"/>
      <c r="LZC34" s="515"/>
      <c r="LZD34" s="515"/>
      <c r="LZE34" s="514"/>
      <c r="LZF34" s="515"/>
      <c r="LZG34" s="515"/>
      <c r="LZH34" s="515"/>
      <c r="LZI34" s="515"/>
      <c r="LZJ34" s="515"/>
      <c r="LZK34" s="515"/>
      <c r="LZL34" s="515"/>
      <c r="LZM34" s="514"/>
      <c r="LZN34" s="515"/>
      <c r="LZO34" s="515"/>
      <c r="LZP34" s="515"/>
      <c r="LZQ34" s="515"/>
      <c r="LZR34" s="515"/>
      <c r="LZS34" s="515"/>
      <c r="LZT34" s="515"/>
      <c r="LZU34" s="514"/>
      <c r="LZV34" s="515"/>
      <c r="LZW34" s="515"/>
      <c r="LZX34" s="515"/>
      <c r="LZY34" s="515"/>
      <c r="LZZ34" s="515"/>
      <c r="MAA34" s="515"/>
      <c r="MAB34" s="515"/>
      <c r="MAC34" s="514"/>
      <c r="MAD34" s="515"/>
      <c r="MAE34" s="515"/>
      <c r="MAF34" s="515"/>
      <c r="MAG34" s="515"/>
      <c r="MAH34" s="515"/>
      <c r="MAI34" s="515"/>
      <c r="MAJ34" s="515"/>
      <c r="MAK34" s="514"/>
      <c r="MAL34" s="515"/>
      <c r="MAM34" s="515"/>
      <c r="MAN34" s="515"/>
      <c r="MAO34" s="515"/>
      <c r="MAP34" s="515"/>
      <c r="MAQ34" s="515"/>
      <c r="MAR34" s="515"/>
      <c r="MAS34" s="514"/>
      <c r="MAT34" s="515"/>
      <c r="MAU34" s="515"/>
      <c r="MAV34" s="515"/>
      <c r="MAW34" s="515"/>
      <c r="MAX34" s="515"/>
      <c r="MAY34" s="515"/>
      <c r="MAZ34" s="515"/>
      <c r="MBA34" s="514"/>
      <c r="MBB34" s="515"/>
      <c r="MBC34" s="515"/>
      <c r="MBD34" s="515"/>
      <c r="MBE34" s="515"/>
      <c r="MBF34" s="515"/>
      <c r="MBG34" s="515"/>
      <c r="MBH34" s="515"/>
      <c r="MBI34" s="514"/>
      <c r="MBJ34" s="515"/>
      <c r="MBK34" s="515"/>
      <c r="MBL34" s="515"/>
      <c r="MBM34" s="515"/>
      <c r="MBN34" s="515"/>
      <c r="MBO34" s="515"/>
      <c r="MBP34" s="515"/>
      <c r="MBQ34" s="514"/>
      <c r="MBR34" s="515"/>
      <c r="MBS34" s="515"/>
      <c r="MBT34" s="515"/>
      <c r="MBU34" s="515"/>
      <c r="MBV34" s="515"/>
      <c r="MBW34" s="515"/>
      <c r="MBX34" s="515"/>
      <c r="MBY34" s="514"/>
      <c r="MBZ34" s="515"/>
      <c r="MCA34" s="515"/>
      <c r="MCB34" s="515"/>
      <c r="MCC34" s="515"/>
      <c r="MCD34" s="515"/>
      <c r="MCE34" s="515"/>
      <c r="MCF34" s="515"/>
      <c r="MCG34" s="514"/>
      <c r="MCH34" s="515"/>
      <c r="MCI34" s="515"/>
      <c r="MCJ34" s="515"/>
      <c r="MCK34" s="515"/>
      <c r="MCL34" s="515"/>
      <c r="MCM34" s="515"/>
      <c r="MCN34" s="515"/>
      <c r="MCO34" s="514"/>
      <c r="MCP34" s="515"/>
      <c r="MCQ34" s="515"/>
      <c r="MCR34" s="515"/>
      <c r="MCS34" s="515"/>
      <c r="MCT34" s="515"/>
      <c r="MCU34" s="515"/>
      <c r="MCV34" s="515"/>
      <c r="MCW34" s="514"/>
      <c r="MCX34" s="515"/>
      <c r="MCY34" s="515"/>
      <c r="MCZ34" s="515"/>
      <c r="MDA34" s="515"/>
      <c r="MDB34" s="515"/>
      <c r="MDC34" s="515"/>
      <c r="MDD34" s="515"/>
      <c r="MDE34" s="514"/>
      <c r="MDF34" s="515"/>
      <c r="MDG34" s="515"/>
      <c r="MDH34" s="515"/>
      <c r="MDI34" s="515"/>
      <c r="MDJ34" s="515"/>
      <c r="MDK34" s="515"/>
      <c r="MDL34" s="515"/>
      <c r="MDM34" s="514"/>
      <c r="MDN34" s="515"/>
      <c r="MDO34" s="515"/>
      <c r="MDP34" s="515"/>
      <c r="MDQ34" s="515"/>
      <c r="MDR34" s="515"/>
      <c r="MDS34" s="515"/>
      <c r="MDT34" s="515"/>
      <c r="MDU34" s="514"/>
      <c r="MDV34" s="515"/>
      <c r="MDW34" s="515"/>
      <c r="MDX34" s="515"/>
      <c r="MDY34" s="515"/>
      <c r="MDZ34" s="515"/>
      <c r="MEA34" s="515"/>
      <c r="MEB34" s="515"/>
      <c r="MEC34" s="514"/>
      <c r="MED34" s="515"/>
      <c r="MEE34" s="515"/>
      <c r="MEF34" s="515"/>
      <c r="MEG34" s="515"/>
      <c r="MEH34" s="515"/>
      <c r="MEI34" s="515"/>
      <c r="MEJ34" s="515"/>
      <c r="MEK34" s="514"/>
      <c r="MEL34" s="515"/>
      <c r="MEM34" s="515"/>
      <c r="MEN34" s="515"/>
      <c r="MEO34" s="515"/>
      <c r="MEP34" s="515"/>
      <c r="MEQ34" s="515"/>
      <c r="MER34" s="515"/>
      <c r="MES34" s="514"/>
      <c r="MET34" s="515"/>
      <c r="MEU34" s="515"/>
      <c r="MEV34" s="515"/>
      <c r="MEW34" s="515"/>
      <c r="MEX34" s="515"/>
      <c r="MEY34" s="515"/>
      <c r="MEZ34" s="515"/>
      <c r="MFA34" s="514"/>
      <c r="MFB34" s="515"/>
      <c r="MFC34" s="515"/>
      <c r="MFD34" s="515"/>
      <c r="MFE34" s="515"/>
      <c r="MFF34" s="515"/>
      <c r="MFG34" s="515"/>
      <c r="MFH34" s="515"/>
      <c r="MFI34" s="514"/>
      <c r="MFJ34" s="515"/>
      <c r="MFK34" s="515"/>
      <c r="MFL34" s="515"/>
      <c r="MFM34" s="515"/>
      <c r="MFN34" s="515"/>
      <c r="MFO34" s="515"/>
      <c r="MFP34" s="515"/>
      <c r="MFQ34" s="514"/>
      <c r="MFR34" s="515"/>
      <c r="MFS34" s="515"/>
      <c r="MFT34" s="515"/>
      <c r="MFU34" s="515"/>
      <c r="MFV34" s="515"/>
      <c r="MFW34" s="515"/>
      <c r="MFX34" s="515"/>
      <c r="MFY34" s="514"/>
      <c r="MFZ34" s="515"/>
      <c r="MGA34" s="515"/>
      <c r="MGB34" s="515"/>
      <c r="MGC34" s="515"/>
      <c r="MGD34" s="515"/>
      <c r="MGE34" s="515"/>
      <c r="MGF34" s="515"/>
      <c r="MGG34" s="514"/>
      <c r="MGH34" s="515"/>
      <c r="MGI34" s="515"/>
      <c r="MGJ34" s="515"/>
      <c r="MGK34" s="515"/>
      <c r="MGL34" s="515"/>
      <c r="MGM34" s="515"/>
      <c r="MGN34" s="515"/>
      <c r="MGO34" s="514"/>
      <c r="MGP34" s="515"/>
      <c r="MGQ34" s="515"/>
      <c r="MGR34" s="515"/>
      <c r="MGS34" s="515"/>
      <c r="MGT34" s="515"/>
      <c r="MGU34" s="515"/>
      <c r="MGV34" s="515"/>
      <c r="MGW34" s="514"/>
      <c r="MGX34" s="515"/>
      <c r="MGY34" s="515"/>
      <c r="MGZ34" s="515"/>
      <c r="MHA34" s="515"/>
      <c r="MHB34" s="515"/>
      <c r="MHC34" s="515"/>
      <c r="MHD34" s="515"/>
      <c r="MHE34" s="514"/>
      <c r="MHF34" s="515"/>
      <c r="MHG34" s="515"/>
      <c r="MHH34" s="515"/>
      <c r="MHI34" s="515"/>
      <c r="MHJ34" s="515"/>
      <c r="MHK34" s="515"/>
      <c r="MHL34" s="515"/>
      <c r="MHM34" s="514"/>
      <c r="MHN34" s="515"/>
      <c r="MHO34" s="515"/>
      <c r="MHP34" s="515"/>
      <c r="MHQ34" s="515"/>
      <c r="MHR34" s="515"/>
      <c r="MHS34" s="515"/>
      <c r="MHT34" s="515"/>
      <c r="MHU34" s="514"/>
      <c r="MHV34" s="515"/>
      <c r="MHW34" s="515"/>
      <c r="MHX34" s="515"/>
      <c r="MHY34" s="515"/>
      <c r="MHZ34" s="515"/>
      <c r="MIA34" s="515"/>
      <c r="MIB34" s="515"/>
      <c r="MIC34" s="514"/>
      <c r="MID34" s="515"/>
      <c r="MIE34" s="515"/>
      <c r="MIF34" s="515"/>
      <c r="MIG34" s="515"/>
      <c r="MIH34" s="515"/>
      <c r="MII34" s="515"/>
      <c r="MIJ34" s="515"/>
      <c r="MIK34" s="514"/>
      <c r="MIL34" s="515"/>
      <c r="MIM34" s="515"/>
      <c r="MIN34" s="515"/>
      <c r="MIO34" s="515"/>
      <c r="MIP34" s="515"/>
      <c r="MIQ34" s="515"/>
      <c r="MIR34" s="515"/>
      <c r="MIS34" s="514"/>
      <c r="MIT34" s="515"/>
      <c r="MIU34" s="515"/>
      <c r="MIV34" s="515"/>
      <c r="MIW34" s="515"/>
      <c r="MIX34" s="515"/>
      <c r="MIY34" s="515"/>
      <c r="MIZ34" s="515"/>
      <c r="MJA34" s="514"/>
      <c r="MJB34" s="515"/>
      <c r="MJC34" s="515"/>
      <c r="MJD34" s="515"/>
      <c r="MJE34" s="515"/>
      <c r="MJF34" s="515"/>
      <c r="MJG34" s="515"/>
      <c r="MJH34" s="515"/>
      <c r="MJI34" s="514"/>
      <c r="MJJ34" s="515"/>
      <c r="MJK34" s="515"/>
      <c r="MJL34" s="515"/>
      <c r="MJM34" s="515"/>
      <c r="MJN34" s="515"/>
      <c r="MJO34" s="515"/>
      <c r="MJP34" s="515"/>
      <c r="MJQ34" s="514"/>
      <c r="MJR34" s="515"/>
      <c r="MJS34" s="515"/>
      <c r="MJT34" s="515"/>
      <c r="MJU34" s="515"/>
      <c r="MJV34" s="515"/>
      <c r="MJW34" s="515"/>
      <c r="MJX34" s="515"/>
      <c r="MJY34" s="514"/>
      <c r="MJZ34" s="515"/>
      <c r="MKA34" s="515"/>
      <c r="MKB34" s="515"/>
      <c r="MKC34" s="515"/>
      <c r="MKD34" s="515"/>
      <c r="MKE34" s="515"/>
      <c r="MKF34" s="515"/>
      <c r="MKG34" s="514"/>
      <c r="MKH34" s="515"/>
      <c r="MKI34" s="515"/>
      <c r="MKJ34" s="515"/>
      <c r="MKK34" s="515"/>
      <c r="MKL34" s="515"/>
      <c r="MKM34" s="515"/>
      <c r="MKN34" s="515"/>
      <c r="MKO34" s="514"/>
      <c r="MKP34" s="515"/>
      <c r="MKQ34" s="515"/>
      <c r="MKR34" s="515"/>
      <c r="MKS34" s="515"/>
      <c r="MKT34" s="515"/>
      <c r="MKU34" s="515"/>
      <c r="MKV34" s="515"/>
      <c r="MKW34" s="514"/>
      <c r="MKX34" s="515"/>
      <c r="MKY34" s="515"/>
      <c r="MKZ34" s="515"/>
      <c r="MLA34" s="515"/>
      <c r="MLB34" s="515"/>
      <c r="MLC34" s="515"/>
      <c r="MLD34" s="515"/>
      <c r="MLE34" s="514"/>
      <c r="MLF34" s="515"/>
      <c r="MLG34" s="515"/>
      <c r="MLH34" s="515"/>
      <c r="MLI34" s="515"/>
      <c r="MLJ34" s="515"/>
      <c r="MLK34" s="515"/>
      <c r="MLL34" s="515"/>
      <c r="MLM34" s="514"/>
      <c r="MLN34" s="515"/>
      <c r="MLO34" s="515"/>
      <c r="MLP34" s="515"/>
      <c r="MLQ34" s="515"/>
      <c r="MLR34" s="515"/>
      <c r="MLS34" s="515"/>
      <c r="MLT34" s="515"/>
      <c r="MLU34" s="514"/>
      <c r="MLV34" s="515"/>
      <c r="MLW34" s="515"/>
      <c r="MLX34" s="515"/>
      <c r="MLY34" s="515"/>
      <c r="MLZ34" s="515"/>
      <c r="MMA34" s="515"/>
      <c r="MMB34" s="515"/>
      <c r="MMC34" s="514"/>
      <c r="MMD34" s="515"/>
      <c r="MME34" s="515"/>
      <c r="MMF34" s="515"/>
      <c r="MMG34" s="515"/>
      <c r="MMH34" s="515"/>
      <c r="MMI34" s="515"/>
      <c r="MMJ34" s="515"/>
      <c r="MMK34" s="514"/>
      <c r="MML34" s="515"/>
      <c r="MMM34" s="515"/>
      <c r="MMN34" s="515"/>
      <c r="MMO34" s="515"/>
      <c r="MMP34" s="515"/>
      <c r="MMQ34" s="515"/>
      <c r="MMR34" s="515"/>
      <c r="MMS34" s="514"/>
      <c r="MMT34" s="515"/>
      <c r="MMU34" s="515"/>
      <c r="MMV34" s="515"/>
      <c r="MMW34" s="515"/>
      <c r="MMX34" s="515"/>
      <c r="MMY34" s="515"/>
      <c r="MMZ34" s="515"/>
      <c r="MNA34" s="514"/>
      <c r="MNB34" s="515"/>
      <c r="MNC34" s="515"/>
      <c r="MND34" s="515"/>
      <c r="MNE34" s="515"/>
      <c r="MNF34" s="515"/>
      <c r="MNG34" s="515"/>
      <c r="MNH34" s="515"/>
      <c r="MNI34" s="514"/>
      <c r="MNJ34" s="515"/>
      <c r="MNK34" s="515"/>
      <c r="MNL34" s="515"/>
      <c r="MNM34" s="515"/>
      <c r="MNN34" s="515"/>
      <c r="MNO34" s="515"/>
      <c r="MNP34" s="515"/>
      <c r="MNQ34" s="514"/>
      <c r="MNR34" s="515"/>
      <c r="MNS34" s="515"/>
      <c r="MNT34" s="515"/>
      <c r="MNU34" s="515"/>
      <c r="MNV34" s="515"/>
      <c r="MNW34" s="515"/>
      <c r="MNX34" s="515"/>
      <c r="MNY34" s="514"/>
      <c r="MNZ34" s="515"/>
      <c r="MOA34" s="515"/>
      <c r="MOB34" s="515"/>
      <c r="MOC34" s="515"/>
      <c r="MOD34" s="515"/>
      <c r="MOE34" s="515"/>
      <c r="MOF34" s="515"/>
      <c r="MOG34" s="514"/>
      <c r="MOH34" s="515"/>
      <c r="MOI34" s="515"/>
      <c r="MOJ34" s="515"/>
      <c r="MOK34" s="515"/>
      <c r="MOL34" s="515"/>
      <c r="MOM34" s="515"/>
      <c r="MON34" s="515"/>
      <c r="MOO34" s="514"/>
      <c r="MOP34" s="515"/>
      <c r="MOQ34" s="515"/>
      <c r="MOR34" s="515"/>
      <c r="MOS34" s="515"/>
      <c r="MOT34" s="515"/>
      <c r="MOU34" s="515"/>
      <c r="MOV34" s="515"/>
      <c r="MOW34" s="514"/>
      <c r="MOX34" s="515"/>
      <c r="MOY34" s="515"/>
      <c r="MOZ34" s="515"/>
      <c r="MPA34" s="515"/>
      <c r="MPB34" s="515"/>
      <c r="MPC34" s="515"/>
      <c r="MPD34" s="515"/>
      <c r="MPE34" s="514"/>
      <c r="MPF34" s="515"/>
      <c r="MPG34" s="515"/>
      <c r="MPH34" s="515"/>
      <c r="MPI34" s="515"/>
      <c r="MPJ34" s="515"/>
      <c r="MPK34" s="515"/>
      <c r="MPL34" s="515"/>
      <c r="MPM34" s="514"/>
      <c r="MPN34" s="515"/>
      <c r="MPO34" s="515"/>
      <c r="MPP34" s="515"/>
      <c r="MPQ34" s="515"/>
      <c r="MPR34" s="515"/>
      <c r="MPS34" s="515"/>
      <c r="MPT34" s="515"/>
      <c r="MPU34" s="514"/>
      <c r="MPV34" s="515"/>
      <c r="MPW34" s="515"/>
      <c r="MPX34" s="515"/>
      <c r="MPY34" s="515"/>
      <c r="MPZ34" s="515"/>
      <c r="MQA34" s="515"/>
      <c r="MQB34" s="515"/>
      <c r="MQC34" s="514"/>
      <c r="MQD34" s="515"/>
      <c r="MQE34" s="515"/>
      <c r="MQF34" s="515"/>
      <c r="MQG34" s="515"/>
      <c r="MQH34" s="515"/>
      <c r="MQI34" s="515"/>
      <c r="MQJ34" s="515"/>
      <c r="MQK34" s="514"/>
      <c r="MQL34" s="515"/>
      <c r="MQM34" s="515"/>
      <c r="MQN34" s="515"/>
      <c r="MQO34" s="515"/>
      <c r="MQP34" s="515"/>
      <c r="MQQ34" s="515"/>
      <c r="MQR34" s="515"/>
      <c r="MQS34" s="514"/>
      <c r="MQT34" s="515"/>
      <c r="MQU34" s="515"/>
      <c r="MQV34" s="515"/>
      <c r="MQW34" s="515"/>
      <c r="MQX34" s="515"/>
      <c r="MQY34" s="515"/>
      <c r="MQZ34" s="515"/>
      <c r="MRA34" s="514"/>
      <c r="MRB34" s="515"/>
      <c r="MRC34" s="515"/>
      <c r="MRD34" s="515"/>
      <c r="MRE34" s="515"/>
      <c r="MRF34" s="515"/>
      <c r="MRG34" s="515"/>
      <c r="MRH34" s="515"/>
      <c r="MRI34" s="514"/>
      <c r="MRJ34" s="515"/>
      <c r="MRK34" s="515"/>
      <c r="MRL34" s="515"/>
      <c r="MRM34" s="515"/>
      <c r="MRN34" s="515"/>
      <c r="MRO34" s="515"/>
      <c r="MRP34" s="515"/>
      <c r="MRQ34" s="514"/>
      <c r="MRR34" s="515"/>
      <c r="MRS34" s="515"/>
      <c r="MRT34" s="515"/>
      <c r="MRU34" s="515"/>
      <c r="MRV34" s="515"/>
      <c r="MRW34" s="515"/>
      <c r="MRX34" s="515"/>
      <c r="MRY34" s="514"/>
      <c r="MRZ34" s="515"/>
      <c r="MSA34" s="515"/>
      <c r="MSB34" s="515"/>
      <c r="MSC34" s="515"/>
      <c r="MSD34" s="515"/>
      <c r="MSE34" s="515"/>
      <c r="MSF34" s="515"/>
      <c r="MSG34" s="514"/>
      <c r="MSH34" s="515"/>
      <c r="MSI34" s="515"/>
      <c r="MSJ34" s="515"/>
      <c r="MSK34" s="515"/>
      <c r="MSL34" s="515"/>
      <c r="MSM34" s="515"/>
      <c r="MSN34" s="515"/>
      <c r="MSO34" s="514"/>
      <c r="MSP34" s="515"/>
      <c r="MSQ34" s="515"/>
      <c r="MSR34" s="515"/>
      <c r="MSS34" s="515"/>
      <c r="MST34" s="515"/>
      <c r="MSU34" s="515"/>
      <c r="MSV34" s="515"/>
      <c r="MSW34" s="514"/>
      <c r="MSX34" s="515"/>
      <c r="MSY34" s="515"/>
      <c r="MSZ34" s="515"/>
      <c r="MTA34" s="515"/>
      <c r="MTB34" s="515"/>
      <c r="MTC34" s="515"/>
      <c r="MTD34" s="515"/>
      <c r="MTE34" s="514"/>
      <c r="MTF34" s="515"/>
      <c r="MTG34" s="515"/>
      <c r="MTH34" s="515"/>
      <c r="MTI34" s="515"/>
      <c r="MTJ34" s="515"/>
      <c r="MTK34" s="515"/>
      <c r="MTL34" s="515"/>
      <c r="MTM34" s="514"/>
      <c r="MTN34" s="515"/>
      <c r="MTO34" s="515"/>
      <c r="MTP34" s="515"/>
      <c r="MTQ34" s="515"/>
      <c r="MTR34" s="515"/>
      <c r="MTS34" s="515"/>
      <c r="MTT34" s="515"/>
      <c r="MTU34" s="514"/>
      <c r="MTV34" s="515"/>
      <c r="MTW34" s="515"/>
      <c r="MTX34" s="515"/>
      <c r="MTY34" s="515"/>
      <c r="MTZ34" s="515"/>
      <c r="MUA34" s="515"/>
      <c r="MUB34" s="515"/>
      <c r="MUC34" s="514"/>
      <c r="MUD34" s="515"/>
      <c r="MUE34" s="515"/>
      <c r="MUF34" s="515"/>
      <c r="MUG34" s="515"/>
      <c r="MUH34" s="515"/>
      <c r="MUI34" s="515"/>
      <c r="MUJ34" s="515"/>
      <c r="MUK34" s="514"/>
      <c r="MUL34" s="515"/>
      <c r="MUM34" s="515"/>
      <c r="MUN34" s="515"/>
      <c r="MUO34" s="515"/>
      <c r="MUP34" s="515"/>
      <c r="MUQ34" s="515"/>
      <c r="MUR34" s="515"/>
      <c r="MUS34" s="514"/>
      <c r="MUT34" s="515"/>
      <c r="MUU34" s="515"/>
      <c r="MUV34" s="515"/>
      <c r="MUW34" s="515"/>
      <c r="MUX34" s="515"/>
      <c r="MUY34" s="515"/>
      <c r="MUZ34" s="515"/>
      <c r="MVA34" s="514"/>
      <c r="MVB34" s="515"/>
      <c r="MVC34" s="515"/>
      <c r="MVD34" s="515"/>
      <c r="MVE34" s="515"/>
      <c r="MVF34" s="515"/>
      <c r="MVG34" s="515"/>
      <c r="MVH34" s="515"/>
      <c r="MVI34" s="514"/>
      <c r="MVJ34" s="515"/>
      <c r="MVK34" s="515"/>
      <c r="MVL34" s="515"/>
      <c r="MVM34" s="515"/>
      <c r="MVN34" s="515"/>
      <c r="MVO34" s="515"/>
      <c r="MVP34" s="515"/>
      <c r="MVQ34" s="514"/>
      <c r="MVR34" s="515"/>
      <c r="MVS34" s="515"/>
      <c r="MVT34" s="515"/>
      <c r="MVU34" s="515"/>
      <c r="MVV34" s="515"/>
      <c r="MVW34" s="515"/>
      <c r="MVX34" s="515"/>
      <c r="MVY34" s="514"/>
      <c r="MVZ34" s="515"/>
      <c r="MWA34" s="515"/>
      <c r="MWB34" s="515"/>
      <c r="MWC34" s="515"/>
      <c r="MWD34" s="515"/>
      <c r="MWE34" s="515"/>
      <c r="MWF34" s="515"/>
      <c r="MWG34" s="514"/>
      <c r="MWH34" s="515"/>
      <c r="MWI34" s="515"/>
      <c r="MWJ34" s="515"/>
      <c r="MWK34" s="515"/>
      <c r="MWL34" s="515"/>
      <c r="MWM34" s="515"/>
      <c r="MWN34" s="515"/>
      <c r="MWO34" s="514"/>
      <c r="MWP34" s="515"/>
      <c r="MWQ34" s="515"/>
      <c r="MWR34" s="515"/>
      <c r="MWS34" s="515"/>
      <c r="MWT34" s="515"/>
      <c r="MWU34" s="515"/>
      <c r="MWV34" s="515"/>
      <c r="MWW34" s="514"/>
      <c r="MWX34" s="515"/>
      <c r="MWY34" s="515"/>
      <c r="MWZ34" s="515"/>
      <c r="MXA34" s="515"/>
      <c r="MXB34" s="515"/>
      <c r="MXC34" s="515"/>
      <c r="MXD34" s="515"/>
      <c r="MXE34" s="514"/>
      <c r="MXF34" s="515"/>
      <c r="MXG34" s="515"/>
      <c r="MXH34" s="515"/>
      <c r="MXI34" s="515"/>
      <c r="MXJ34" s="515"/>
      <c r="MXK34" s="515"/>
      <c r="MXL34" s="515"/>
      <c r="MXM34" s="514"/>
      <c r="MXN34" s="515"/>
      <c r="MXO34" s="515"/>
      <c r="MXP34" s="515"/>
      <c r="MXQ34" s="515"/>
      <c r="MXR34" s="515"/>
      <c r="MXS34" s="515"/>
      <c r="MXT34" s="515"/>
      <c r="MXU34" s="514"/>
      <c r="MXV34" s="515"/>
      <c r="MXW34" s="515"/>
      <c r="MXX34" s="515"/>
      <c r="MXY34" s="515"/>
      <c r="MXZ34" s="515"/>
      <c r="MYA34" s="515"/>
      <c r="MYB34" s="515"/>
      <c r="MYC34" s="514"/>
      <c r="MYD34" s="515"/>
      <c r="MYE34" s="515"/>
      <c r="MYF34" s="515"/>
      <c r="MYG34" s="515"/>
      <c r="MYH34" s="515"/>
      <c r="MYI34" s="515"/>
      <c r="MYJ34" s="515"/>
      <c r="MYK34" s="514"/>
      <c r="MYL34" s="515"/>
      <c r="MYM34" s="515"/>
      <c r="MYN34" s="515"/>
      <c r="MYO34" s="515"/>
      <c r="MYP34" s="515"/>
      <c r="MYQ34" s="515"/>
      <c r="MYR34" s="515"/>
      <c r="MYS34" s="514"/>
      <c r="MYT34" s="515"/>
      <c r="MYU34" s="515"/>
      <c r="MYV34" s="515"/>
      <c r="MYW34" s="515"/>
      <c r="MYX34" s="515"/>
      <c r="MYY34" s="515"/>
      <c r="MYZ34" s="515"/>
      <c r="MZA34" s="514"/>
      <c r="MZB34" s="515"/>
      <c r="MZC34" s="515"/>
      <c r="MZD34" s="515"/>
      <c r="MZE34" s="515"/>
      <c r="MZF34" s="515"/>
      <c r="MZG34" s="515"/>
      <c r="MZH34" s="515"/>
      <c r="MZI34" s="514"/>
      <c r="MZJ34" s="515"/>
      <c r="MZK34" s="515"/>
      <c r="MZL34" s="515"/>
      <c r="MZM34" s="515"/>
      <c r="MZN34" s="515"/>
      <c r="MZO34" s="515"/>
      <c r="MZP34" s="515"/>
      <c r="MZQ34" s="514"/>
      <c r="MZR34" s="515"/>
      <c r="MZS34" s="515"/>
      <c r="MZT34" s="515"/>
      <c r="MZU34" s="515"/>
      <c r="MZV34" s="515"/>
      <c r="MZW34" s="515"/>
      <c r="MZX34" s="515"/>
      <c r="MZY34" s="514"/>
      <c r="MZZ34" s="515"/>
      <c r="NAA34" s="515"/>
      <c r="NAB34" s="515"/>
      <c r="NAC34" s="515"/>
      <c r="NAD34" s="515"/>
      <c r="NAE34" s="515"/>
      <c r="NAF34" s="515"/>
      <c r="NAG34" s="514"/>
      <c r="NAH34" s="515"/>
      <c r="NAI34" s="515"/>
      <c r="NAJ34" s="515"/>
      <c r="NAK34" s="515"/>
      <c r="NAL34" s="515"/>
      <c r="NAM34" s="515"/>
      <c r="NAN34" s="515"/>
      <c r="NAO34" s="514"/>
      <c r="NAP34" s="515"/>
      <c r="NAQ34" s="515"/>
      <c r="NAR34" s="515"/>
      <c r="NAS34" s="515"/>
      <c r="NAT34" s="515"/>
      <c r="NAU34" s="515"/>
      <c r="NAV34" s="515"/>
      <c r="NAW34" s="514"/>
      <c r="NAX34" s="515"/>
      <c r="NAY34" s="515"/>
      <c r="NAZ34" s="515"/>
      <c r="NBA34" s="515"/>
      <c r="NBB34" s="515"/>
      <c r="NBC34" s="515"/>
      <c r="NBD34" s="515"/>
      <c r="NBE34" s="514"/>
      <c r="NBF34" s="515"/>
      <c r="NBG34" s="515"/>
      <c r="NBH34" s="515"/>
      <c r="NBI34" s="515"/>
      <c r="NBJ34" s="515"/>
      <c r="NBK34" s="515"/>
      <c r="NBL34" s="515"/>
      <c r="NBM34" s="514"/>
      <c r="NBN34" s="515"/>
      <c r="NBO34" s="515"/>
      <c r="NBP34" s="515"/>
      <c r="NBQ34" s="515"/>
      <c r="NBR34" s="515"/>
      <c r="NBS34" s="515"/>
      <c r="NBT34" s="515"/>
      <c r="NBU34" s="514"/>
      <c r="NBV34" s="515"/>
      <c r="NBW34" s="515"/>
      <c r="NBX34" s="515"/>
      <c r="NBY34" s="515"/>
      <c r="NBZ34" s="515"/>
      <c r="NCA34" s="515"/>
      <c r="NCB34" s="515"/>
      <c r="NCC34" s="514"/>
      <c r="NCD34" s="515"/>
      <c r="NCE34" s="515"/>
      <c r="NCF34" s="515"/>
      <c r="NCG34" s="515"/>
      <c r="NCH34" s="515"/>
      <c r="NCI34" s="515"/>
      <c r="NCJ34" s="515"/>
      <c r="NCK34" s="514"/>
      <c r="NCL34" s="515"/>
      <c r="NCM34" s="515"/>
      <c r="NCN34" s="515"/>
      <c r="NCO34" s="515"/>
      <c r="NCP34" s="515"/>
      <c r="NCQ34" s="515"/>
      <c r="NCR34" s="515"/>
      <c r="NCS34" s="514"/>
      <c r="NCT34" s="515"/>
      <c r="NCU34" s="515"/>
      <c r="NCV34" s="515"/>
      <c r="NCW34" s="515"/>
      <c r="NCX34" s="515"/>
      <c r="NCY34" s="515"/>
      <c r="NCZ34" s="515"/>
      <c r="NDA34" s="514"/>
      <c r="NDB34" s="515"/>
      <c r="NDC34" s="515"/>
      <c r="NDD34" s="515"/>
      <c r="NDE34" s="515"/>
      <c r="NDF34" s="515"/>
      <c r="NDG34" s="515"/>
      <c r="NDH34" s="515"/>
      <c r="NDI34" s="514"/>
      <c r="NDJ34" s="515"/>
      <c r="NDK34" s="515"/>
      <c r="NDL34" s="515"/>
      <c r="NDM34" s="515"/>
      <c r="NDN34" s="515"/>
      <c r="NDO34" s="515"/>
      <c r="NDP34" s="515"/>
      <c r="NDQ34" s="514"/>
      <c r="NDR34" s="515"/>
      <c r="NDS34" s="515"/>
      <c r="NDT34" s="515"/>
      <c r="NDU34" s="515"/>
      <c r="NDV34" s="515"/>
      <c r="NDW34" s="515"/>
      <c r="NDX34" s="515"/>
      <c r="NDY34" s="514"/>
      <c r="NDZ34" s="515"/>
      <c r="NEA34" s="515"/>
      <c r="NEB34" s="515"/>
      <c r="NEC34" s="515"/>
      <c r="NED34" s="515"/>
      <c r="NEE34" s="515"/>
      <c r="NEF34" s="515"/>
      <c r="NEG34" s="514"/>
      <c r="NEH34" s="515"/>
      <c r="NEI34" s="515"/>
      <c r="NEJ34" s="515"/>
      <c r="NEK34" s="515"/>
      <c r="NEL34" s="515"/>
      <c r="NEM34" s="515"/>
      <c r="NEN34" s="515"/>
      <c r="NEO34" s="514"/>
      <c r="NEP34" s="515"/>
      <c r="NEQ34" s="515"/>
      <c r="NER34" s="515"/>
      <c r="NES34" s="515"/>
      <c r="NET34" s="515"/>
      <c r="NEU34" s="515"/>
      <c r="NEV34" s="515"/>
      <c r="NEW34" s="514"/>
      <c r="NEX34" s="515"/>
      <c r="NEY34" s="515"/>
      <c r="NEZ34" s="515"/>
      <c r="NFA34" s="515"/>
      <c r="NFB34" s="515"/>
      <c r="NFC34" s="515"/>
      <c r="NFD34" s="515"/>
      <c r="NFE34" s="514"/>
      <c r="NFF34" s="515"/>
      <c r="NFG34" s="515"/>
      <c r="NFH34" s="515"/>
      <c r="NFI34" s="515"/>
      <c r="NFJ34" s="515"/>
      <c r="NFK34" s="515"/>
      <c r="NFL34" s="515"/>
      <c r="NFM34" s="514"/>
      <c r="NFN34" s="515"/>
      <c r="NFO34" s="515"/>
      <c r="NFP34" s="515"/>
      <c r="NFQ34" s="515"/>
      <c r="NFR34" s="515"/>
      <c r="NFS34" s="515"/>
      <c r="NFT34" s="515"/>
      <c r="NFU34" s="514"/>
      <c r="NFV34" s="515"/>
      <c r="NFW34" s="515"/>
      <c r="NFX34" s="515"/>
      <c r="NFY34" s="515"/>
      <c r="NFZ34" s="515"/>
      <c r="NGA34" s="515"/>
      <c r="NGB34" s="515"/>
      <c r="NGC34" s="514"/>
      <c r="NGD34" s="515"/>
      <c r="NGE34" s="515"/>
      <c r="NGF34" s="515"/>
      <c r="NGG34" s="515"/>
      <c r="NGH34" s="515"/>
      <c r="NGI34" s="515"/>
      <c r="NGJ34" s="515"/>
      <c r="NGK34" s="514"/>
      <c r="NGL34" s="515"/>
      <c r="NGM34" s="515"/>
      <c r="NGN34" s="515"/>
      <c r="NGO34" s="515"/>
      <c r="NGP34" s="515"/>
      <c r="NGQ34" s="515"/>
      <c r="NGR34" s="515"/>
      <c r="NGS34" s="514"/>
      <c r="NGT34" s="515"/>
      <c r="NGU34" s="515"/>
      <c r="NGV34" s="515"/>
      <c r="NGW34" s="515"/>
      <c r="NGX34" s="515"/>
      <c r="NGY34" s="515"/>
      <c r="NGZ34" s="515"/>
      <c r="NHA34" s="514"/>
      <c r="NHB34" s="515"/>
      <c r="NHC34" s="515"/>
      <c r="NHD34" s="515"/>
      <c r="NHE34" s="515"/>
      <c r="NHF34" s="515"/>
      <c r="NHG34" s="515"/>
      <c r="NHH34" s="515"/>
      <c r="NHI34" s="514"/>
      <c r="NHJ34" s="515"/>
      <c r="NHK34" s="515"/>
      <c r="NHL34" s="515"/>
      <c r="NHM34" s="515"/>
      <c r="NHN34" s="515"/>
      <c r="NHO34" s="515"/>
      <c r="NHP34" s="515"/>
      <c r="NHQ34" s="514"/>
      <c r="NHR34" s="515"/>
      <c r="NHS34" s="515"/>
      <c r="NHT34" s="515"/>
      <c r="NHU34" s="515"/>
      <c r="NHV34" s="515"/>
      <c r="NHW34" s="515"/>
      <c r="NHX34" s="515"/>
      <c r="NHY34" s="514"/>
      <c r="NHZ34" s="515"/>
      <c r="NIA34" s="515"/>
      <c r="NIB34" s="515"/>
      <c r="NIC34" s="515"/>
      <c r="NID34" s="515"/>
      <c r="NIE34" s="515"/>
      <c r="NIF34" s="515"/>
      <c r="NIG34" s="514"/>
      <c r="NIH34" s="515"/>
      <c r="NII34" s="515"/>
      <c r="NIJ34" s="515"/>
      <c r="NIK34" s="515"/>
      <c r="NIL34" s="515"/>
      <c r="NIM34" s="515"/>
      <c r="NIN34" s="515"/>
      <c r="NIO34" s="514"/>
      <c r="NIP34" s="515"/>
      <c r="NIQ34" s="515"/>
      <c r="NIR34" s="515"/>
      <c r="NIS34" s="515"/>
      <c r="NIT34" s="515"/>
      <c r="NIU34" s="515"/>
      <c r="NIV34" s="515"/>
      <c r="NIW34" s="514"/>
      <c r="NIX34" s="515"/>
      <c r="NIY34" s="515"/>
      <c r="NIZ34" s="515"/>
      <c r="NJA34" s="515"/>
      <c r="NJB34" s="515"/>
      <c r="NJC34" s="515"/>
      <c r="NJD34" s="515"/>
      <c r="NJE34" s="514"/>
      <c r="NJF34" s="515"/>
      <c r="NJG34" s="515"/>
      <c r="NJH34" s="515"/>
      <c r="NJI34" s="515"/>
      <c r="NJJ34" s="515"/>
      <c r="NJK34" s="515"/>
      <c r="NJL34" s="515"/>
      <c r="NJM34" s="514"/>
      <c r="NJN34" s="515"/>
      <c r="NJO34" s="515"/>
      <c r="NJP34" s="515"/>
      <c r="NJQ34" s="515"/>
      <c r="NJR34" s="515"/>
      <c r="NJS34" s="515"/>
      <c r="NJT34" s="515"/>
      <c r="NJU34" s="514"/>
      <c r="NJV34" s="515"/>
      <c r="NJW34" s="515"/>
      <c r="NJX34" s="515"/>
      <c r="NJY34" s="515"/>
      <c r="NJZ34" s="515"/>
      <c r="NKA34" s="515"/>
      <c r="NKB34" s="515"/>
      <c r="NKC34" s="514"/>
      <c r="NKD34" s="515"/>
      <c r="NKE34" s="515"/>
      <c r="NKF34" s="515"/>
      <c r="NKG34" s="515"/>
      <c r="NKH34" s="515"/>
      <c r="NKI34" s="515"/>
      <c r="NKJ34" s="515"/>
      <c r="NKK34" s="514"/>
      <c r="NKL34" s="515"/>
      <c r="NKM34" s="515"/>
      <c r="NKN34" s="515"/>
      <c r="NKO34" s="515"/>
      <c r="NKP34" s="515"/>
      <c r="NKQ34" s="515"/>
      <c r="NKR34" s="515"/>
      <c r="NKS34" s="514"/>
      <c r="NKT34" s="515"/>
      <c r="NKU34" s="515"/>
      <c r="NKV34" s="515"/>
      <c r="NKW34" s="515"/>
      <c r="NKX34" s="515"/>
      <c r="NKY34" s="515"/>
      <c r="NKZ34" s="515"/>
      <c r="NLA34" s="514"/>
      <c r="NLB34" s="515"/>
      <c r="NLC34" s="515"/>
      <c r="NLD34" s="515"/>
      <c r="NLE34" s="515"/>
      <c r="NLF34" s="515"/>
      <c r="NLG34" s="515"/>
      <c r="NLH34" s="515"/>
      <c r="NLI34" s="514"/>
      <c r="NLJ34" s="515"/>
      <c r="NLK34" s="515"/>
      <c r="NLL34" s="515"/>
      <c r="NLM34" s="515"/>
      <c r="NLN34" s="515"/>
      <c r="NLO34" s="515"/>
      <c r="NLP34" s="515"/>
      <c r="NLQ34" s="514"/>
      <c r="NLR34" s="515"/>
      <c r="NLS34" s="515"/>
      <c r="NLT34" s="515"/>
      <c r="NLU34" s="515"/>
      <c r="NLV34" s="515"/>
      <c r="NLW34" s="515"/>
      <c r="NLX34" s="515"/>
      <c r="NLY34" s="514"/>
      <c r="NLZ34" s="515"/>
      <c r="NMA34" s="515"/>
      <c r="NMB34" s="515"/>
      <c r="NMC34" s="515"/>
      <c r="NMD34" s="515"/>
      <c r="NME34" s="515"/>
      <c r="NMF34" s="515"/>
      <c r="NMG34" s="514"/>
      <c r="NMH34" s="515"/>
      <c r="NMI34" s="515"/>
      <c r="NMJ34" s="515"/>
      <c r="NMK34" s="515"/>
      <c r="NML34" s="515"/>
      <c r="NMM34" s="515"/>
      <c r="NMN34" s="515"/>
      <c r="NMO34" s="514"/>
      <c r="NMP34" s="515"/>
      <c r="NMQ34" s="515"/>
      <c r="NMR34" s="515"/>
      <c r="NMS34" s="515"/>
      <c r="NMT34" s="515"/>
      <c r="NMU34" s="515"/>
      <c r="NMV34" s="515"/>
      <c r="NMW34" s="514"/>
      <c r="NMX34" s="515"/>
      <c r="NMY34" s="515"/>
      <c r="NMZ34" s="515"/>
      <c r="NNA34" s="515"/>
      <c r="NNB34" s="515"/>
      <c r="NNC34" s="515"/>
      <c r="NND34" s="515"/>
      <c r="NNE34" s="514"/>
      <c r="NNF34" s="515"/>
      <c r="NNG34" s="515"/>
      <c r="NNH34" s="515"/>
      <c r="NNI34" s="515"/>
      <c r="NNJ34" s="515"/>
      <c r="NNK34" s="515"/>
      <c r="NNL34" s="515"/>
      <c r="NNM34" s="514"/>
      <c r="NNN34" s="515"/>
      <c r="NNO34" s="515"/>
      <c r="NNP34" s="515"/>
      <c r="NNQ34" s="515"/>
      <c r="NNR34" s="515"/>
      <c r="NNS34" s="515"/>
      <c r="NNT34" s="515"/>
      <c r="NNU34" s="514"/>
      <c r="NNV34" s="515"/>
      <c r="NNW34" s="515"/>
      <c r="NNX34" s="515"/>
      <c r="NNY34" s="515"/>
      <c r="NNZ34" s="515"/>
      <c r="NOA34" s="515"/>
      <c r="NOB34" s="515"/>
      <c r="NOC34" s="514"/>
      <c r="NOD34" s="515"/>
      <c r="NOE34" s="515"/>
      <c r="NOF34" s="515"/>
      <c r="NOG34" s="515"/>
      <c r="NOH34" s="515"/>
      <c r="NOI34" s="515"/>
      <c r="NOJ34" s="515"/>
      <c r="NOK34" s="514"/>
      <c r="NOL34" s="515"/>
      <c r="NOM34" s="515"/>
      <c r="NON34" s="515"/>
      <c r="NOO34" s="515"/>
      <c r="NOP34" s="515"/>
      <c r="NOQ34" s="515"/>
      <c r="NOR34" s="515"/>
      <c r="NOS34" s="514"/>
      <c r="NOT34" s="515"/>
      <c r="NOU34" s="515"/>
      <c r="NOV34" s="515"/>
      <c r="NOW34" s="515"/>
      <c r="NOX34" s="515"/>
      <c r="NOY34" s="515"/>
      <c r="NOZ34" s="515"/>
      <c r="NPA34" s="514"/>
      <c r="NPB34" s="515"/>
      <c r="NPC34" s="515"/>
      <c r="NPD34" s="515"/>
      <c r="NPE34" s="515"/>
      <c r="NPF34" s="515"/>
      <c r="NPG34" s="515"/>
      <c r="NPH34" s="515"/>
      <c r="NPI34" s="514"/>
      <c r="NPJ34" s="515"/>
      <c r="NPK34" s="515"/>
      <c r="NPL34" s="515"/>
      <c r="NPM34" s="515"/>
      <c r="NPN34" s="515"/>
      <c r="NPO34" s="515"/>
      <c r="NPP34" s="515"/>
      <c r="NPQ34" s="514"/>
      <c r="NPR34" s="515"/>
      <c r="NPS34" s="515"/>
      <c r="NPT34" s="515"/>
      <c r="NPU34" s="515"/>
      <c r="NPV34" s="515"/>
      <c r="NPW34" s="515"/>
      <c r="NPX34" s="515"/>
      <c r="NPY34" s="514"/>
      <c r="NPZ34" s="515"/>
      <c r="NQA34" s="515"/>
      <c r="NQB34" s="515"/>
      <c r="NQC34" s="515"/>
      <c r="NQD34" s="515"/>
      <c r="NQE34" s="515"/>
      <c r="NQF34" s="515"/>
      <c r="NQG34" s="514"/>
      <c r="NQH34" s="515"/>
      <c r="NQI34" s="515"/>
      <c r="NQJ34" s="515"/>
      <c r="NQK34" s="515"/>
      <c r="NQL34" s="515"/>
      <c r="NQM34" s="515"/>
      <c r="NQN34" s="515"/>
      <c r="NQO34" s="514"/>
      <c r="NQP34" s="515"/>
      <c r="NQQ34" s="515"/>
      <c r="NQR34" s="515"/>
      <c r="NQS34" s="515"/>
      <c r="NQT34" s="515"/>
      <c r="NQU34" s="515"/>
      <c r="NQV34" s="515"/>
      <c r="NQW34" s="514"/>
      <c r="NQX34" s="515"/>
      <c r="NQY34" s="515"/>
      <c r="NQZ34" s="515"/>
      <c r="NRA34" s="515"/>
      <c r="NRB34" s="515"/>
      <c r="NRC34" s="515"/>
      <c r="NRD34" s="515"/>
      <c r="NRE34" s="514"/>
      <c r="NRF34" s="515"/>
      <c r="NRG34" s="515"/>
      <c r="NRH34" s="515"/>
      <c r="NRI34" s="515"/>
      <c r="NRJ34" s="515"/>
      <c r="NRK34" s="515"/>
      <c r="NRL34" s="515"/>
      <c r="NRM34" s="514"/>
      <c r="NRN34" s="515"/>
      <c r="NRO34" s="515"/>
      <c r="NRP34" s="515"/>
      <c r="NRQ34" s="515"/>
      <c r="NRR34" s="515"/>
      <c r="NRS34" s="515"/>
      <c r="NRT34" s="515"/>
      <c r="NRU34" s="514"/>
      <c r="NRV34" s="515"/>
      <c r="NRW34" s="515"/>
      <c r="NRX34" s="515"/>
      <c r="NRY34" s="515"/>
      <c r="NRZ34" s="515"/>
      <c r="NSA34" s="515"/>
      <c r="NSB34" s="515"/>
      <c r="NSC34" s="514"/>
      <c r="NSD34" s="515"/>
      <c r="NSE34" s="515"/>
      <c r="NSF34" s="515"/>
      <c r="NSG34" s="515"/>
      <c r="NSH34" s="515"/>
      <c r="NSI34" s="515"/>
      <c r="NSJ34" s="515"/>
      <c r="NSK34" s="514"/>
      <c r="NSL34" s="515"/>
      <c r="NSM34" s="515"/>
      <c r="NSN34" s="515"/>
      <c r="NSO34" s="515"/>
      <c r="NSP34" s="515"/>
      <c r="NSQ34" s="515"/>
      <c r="NSR34" s="515"/>
      <c r="NSS34" s="514"/>
      <c r="NST34" s="515"/>
      <c r="NSU34" s="515"/>
      <c r="NSV34" s="515"/>
      <c r="NSW34" s="515"/>
      <c r="NSX34" s="515"/>
      <c r="NSY34" s="515"/>
      <c r="NSZ34" s="515"/>
      <c r="NTA34" s="514"/>
      <c r="NTB34" s="515"/>
      <c r="NTC34" s="515"/>
      <c r="NTD34" s="515"/>
      <c r="NTE34" s="515"/>
      <c r="NTF34" s="515"/>
      <c r="NTG34" s="515"/>
      <c r="NTH34" s="515"/>
      <c r="NTI34" s="514"/>
      <c r="NTJ34" s="515"/>
      <c r="NTK34" s="515"/>
      <c r="NTL34" s="515"/>
      <c r="NTM34" s="515"/>
      <c r="NTN34" s="515"/>
      <c r="NTO34" s="515"/>
      <c r="NTP34" s="515"/>
      <c r="NTQ34" s="514"/>
      <c r="NTR34" s="515"/>
      <c r="NTS34" s="515"/>
      <c r="NTT34" s="515"/>
      <c r="NTU34" s="515"/>
      <c r="NTV34" s="515"/>
      <c r="NTW34" s="515"/>
      <c r="NTX34" s="515"/>
      <c r="NTY34" s="514"/>
      <c r="NTZ34" s="515"/>
      <c r="NUA34" s="515"/>
      <c r="NUB34" s="515"/>
      <c r="NUC34" s="515"/>
      <c r="NUD34" s="515"/>
      <c r="NUE34" s="515"/>
      <c r="NUF34" s="515"/>
      <c r="NUG34" s="514"/>
      <c r="NUH34" s="515"/>
      <c r="NUI34" s="515"/>
      <c r="NUJ34" s="515"/>
      <c r="NUK34" s="515"/>
      <c r="NUL34" s="515"/>
      <c r="NUM34" s="515"/>
      <c r="NUN34" s="515"/>
      <c r="NUO34" s="514"/>
      <c r="NUP34" s="515"/>
      <c r="NUQ34" s="515"/>
      <c r="NUR34" s="515"/>
      <c r="NUS34" s="515"/>
      <c r="NUT34" s="515"/>
      <c r="NUU34" s="515"/>
      <c r="NUV34" s="515"/>
      <c r="NUW34" s="514"/>
      <c r="NUX34" s="515"/>
      <c r="NUY34" s="515"/>
      <c r="NUZ34" s="515"/>
      <c r="NVA34" s="515"/>
      <c r="NVB34" s="515"/>
      <c r="NVC34" s="515"/>
      <c r="NVD34" s="515"/>
      <c r="NVE34" s="514"/>
      <c r="NVF34" s="515"/>
      <c r="NVG34" s="515"/>
      <c r="NVH34" s="515"/>
      <c r="NVI34" s="515"/>
      <c r="NVJ34" s="515"/>
      <c r="NVK34" s="515"/>
      <c r="NVL34" s="515"/>
      <c r="NVM34" s="514"/>
      <c r="NVN34" s="515"/>
      <c r="NVO34" s="515"/>
      <c r="NVP34" s="515"/>
      <c r="NVQ34" s="515"/>
      <c r="NVR34" s="515"/>
      <c r="NVS34" s="515"/>
      <c r="NVT34" s="515"/>
      <c r="NVU34" s="514"/>
      <c r="NVV34" s="515"/>
      <c r="NVW34" s="515"/>
      <c r="NVX34" s="515"/>
      <c r="NVY34" s="515"/>
      <c r="NVZ34" s="515"/>
      <c r="NWA34" s="515"/>
      <c r="NWB34" s="515"/>
      <c r="NWC34" s="514"/>
      <c r="NWD34" s="515"/>
      <c r="NWE34" s="515"/>
      <c r="NWF34" s="515"/>
      <c r="NWG34" s="515"/>
      <c r="NWH34" s="515"/>
      <c r="NWI34" s="515"/>
      <c r="NWJ34" s="515"/>
      <c r="NWK34" s="514"/>
      <c r="NWL34" s="515"/>
      <c r="NWM34" s="515"/>
      <c r="NWN34" s="515"/>
      <c r="NWO34" s="515"/>
      <c r="NWP34" s="515"/>
      <c r="NWQ34" s="515"/>
      <c r="NWR34" s="515"/>
      <c r="NWS34" s="514"/>
      <c r="NWT34" s="515"/>
      <c r="NWU34" s="515"/>
      <c r="NWV34" s="515"/>
      <c r="NWW34" s="515"/>
      <c r="NWX34" s="515"/>
      <c r="NWY34" s="515"/>
      <c r="NWZ34" s="515"/>
      <c r="NXA34" s="514"/>
      <c r="NXB34" s="515"/>
      <c r="NXC34" s="515"/>
      <c r="NXD34" s="515"/>
      <c r="NXE34" s="515"/>
      <c r="NXF34" s="515"/>
      <c r="NXG34" s="515"/>
      <c r="NXH34" s="515"/>
      <c r="NXI34" s="514"/>
      <c r="NXJ34" s="515"/>
      <c r="NXK34" s="515"/>
      <c r="NXL34" s="515"/>
      <c r="NXM34" s="515"/>
      <c r="NXN34" s="515"/>
      <c r="NXO34" s="515"/>
      <c r="NXP34" s="515"/>
      <c r="NXQ34" s="514"/>
      <c r="NXR34" s="515"/>
      <c r="NXS34" s="515"/>
      <c r="NXT34" s="515"/>
      <c r="NXU34" s="515"/>
      <c r="NXV34" s="515"/>
      <c r="NXW34" s="515"/>
      <c r="NXX34" s="515"/>
      <c r="NXY34" s="514"/>
      <c r="NXZ34" s="515"/>
      <c r="NYA34" s="515"/>
      <c r="NYB34" s="515"/>
      <c r="NYC34" s="515"/>
      <c r="NYD34" s="515"/>
      <c r="NYE34" s="515"/>
      <c r="NYF34" s="515"/>
      <c r="NYG34" s="514"/>
      <c r="NYH34" s="515"/>
      <c r="NYI34" s="515"/>
      <c r="NYJ34" s="515"/>
      <c r="NYK34" s="515"/>
      <c r="NYL34" s="515"/>
      <c r="NYM34" s="515"/>
      <c r="NYN34" s="515"/>
      <c r="NYO34" s="514"/>
      <c r="NYP34" s="515"/>
      <c r="NYQ34" s="515"/>
      <c r="NYR34" s="515"/>
      <c r="NYS34" s="515"/>
      <c r="NYT34" s="515"/>
      <c r="NYU34" s="515"/>
      <c r="NYV34" s="515"/>
      <c r="NYW34" s="514"/>
      <c r="NYX34" s="515"/>
      <c r="NYY34" s="515"/>
      <c r="NYZ34" s="515"/>
      <c r="NZA34" s="515"/>
      <c r="NZB34" s="515"/>
      <c r="NZC34" s="515"/>
      <c r="NZD34" s="515"/>
      <c r="NZE34" s="514"/>
      <c r="NZF34" s="515"/>
      <c r="NZG34" s="515"/>
      <c r="NZH34" s="515"/>
      <c r="NZI34" s="515"/>
      <c r="NZJ34" s="515"/>
      <c r="NZK34" s="515"/>
      <c r="NZL34" s="515"/>
      <c r="NZM34" s="514"/>
      <c r="NZN34" s="515"/>
      <c r="NZO34" s="515"/>
      <c r="NZP34" s="515"/>
      <c r="NZQ34" s="515"/>
      <c r="NZR34" s="515"/>
      <c r="NZS34" s="515"/>
      <c r="NZT34" s="515"/>
      <c r="NZU34" s="514"/>
      <c r="NZV34" s="515"/>
      <c r="NZW34" s="515"/>
      <c r="NZX34" s="515"/>
      <c r="NZY34" s="515"/>
      <c r="NZZ34" s="515"/>
      <c r="OAA34" s="515"/>
      <c r="OAB34" s="515"/>
      <c r="OAC34" s="514"/>
      <c r="OAD34" s="515"/>
      <c r="OAE34" s="515"/>
      <c r="OAF34" s="515"/>
      <c r="OAG34" s="515"/>
      <c r="OAH34" s="515"/>
      <c r="OAI34" s="515"/>
      <c r="OAJ34" s="515"/>
      <c r="OAK34" s="514"/>
      <c r="OAL34" s="515"/>
      <c r="OAM34" s="515"/>
      <c r="OAN34" s="515"/>
      <c r="OAO34" s="515"/>
      <c r="OAP34" s="515"/>
      <c r="OAQ34" s="515"/>
      <c r="OAR34" s="515"/>
      <c r="OAS34" s="514"/>
      <c r="OAT34" s="515"/>
      <c r="OAU34" s="515"/>
      <c r="OAV34" s="515"/>
      <c r="OAW34" s="515"/>
      <c r="OAX34" s="515"/>
      <c r="OAY34" s="515"/>
      <c r="OAZ34" s="515"/>
      <c r="OBA34" s="514"/>
      <c r="OBB34" s="515"/>
      <c r="OBC34" s="515"/>
      <c r="OBD34" s="515"/>
      <c r="OBE34" s="515"/>
      <c r="OBF34" s="515"/>
      <c r="OBG34" s="515"/>
      <c r="OBH34" s="515"/>
      <c r="OBI34" s="514"/>
      <c r="OBJ34" s="515"/>
      <c r="OBK34" s="515"/>
      <c r="OBL34" s="515"/>
      <c r="OBM34" s="515"/>
      <c r="OBN34" s="515"/>
      <c r="OBO34" s="515"/>
      <c r="OBP34" s="515"/>
      <c r="OBQ34" s="514"/>
      <c r="OBR34" s="515"/>
      <c r="OBS34" s="515"/>
      <c r="OBT34" s="515"/>
      <c r="OBU34" s="515"/>
      <c r="OBV34" s="515"/>
      <c r="OBW34" s="515"/>
      <c r="OBX34" s="515"/>
      <c r="OBY34" s="514"/>
      <c r="OBZ34" s="515"/>
      <c r="OCA34" s="515"/>
      <c r="OCB34" s="515"/>
      <c r="OCC34" s="515"/>
      <c r="OCD34" s="515"/>
      <c r="OCE34" s="515"/>
      <c r="OCF34" s="515"/>
      <c r="OCG34" s="514"/>
      <c r="OCH34" s="515"/>
      <c r="OCI34" s="515"/>
      <c r="OCJ34" s="515"/>
      <c r="OCK34" s="515"/>
      <c r="OCL34" s="515"/>
      <c r="OCM34" s="515"/>
      <c r="OCN34" s="515"/>
      <c r="OCO34" s="514"/>
      <c r="OCP34" s="515"/>
      <c r="OCQ34" s="515"/>
      <c r="OCR34" s="515"/>
      <c r="OCS34" s="515"/>
      <c r="OCT34" s="515"/>
      <c r="OCU34" s="515"/>
      <c r="OCV34" s="515"/>
      <c r="OCW34" s="514"/>
      <c r="OCX34" s="515"/>
      <c r="OCY34" s="515"/>
      <c r="OCZ34" s="515"/>
      <c r="ODA34" s="515"/>
      <c r="ODB34" s="515"/>
      <c r="ODC34" s="515"/>
      <c r="ODD34" s="515"/>
      <c r="ODE34" s="514"/>
      <c r="ODF34" s="515"/>
      <c r="ODG34" s="515"/>
      <c r="ODH34" s="515"/>
      <c r="ODI34" s="515"/>
      <c r="ODJ34" s="515"/>
      <c r="ODK34" s="515"/>
      <c r="ODL34" s="515"/>
      <c r="ODM34" s="514"/>
      <c r="ODN34" s="515"/>
      <c r="ODO34" s="515"/>
      <c r="ODP34" s="515"/>
      <c r="ODQ34" s="515"/>
      <c r="ODR34" s="515"/>
      <c r="ODS34" s="515"/>
      <c r="ODT34" s="515"/>
      <c r="ODU34" s="514"/>
      <c r="ODV34" s="515"/>
      <c r="ODW34" s="515"/>
      <c r="ODX34" s="515"/>
      <c r="ODY34" s="515"/>
      <c r="ODZ34" s="515"/>
      <c r="OEA34" s="515"/>
      <c r="OEB34" s="515"/>
      <c r="OEC34" s="514"/>
      <c r="OED34" s="515"/>
      <c r="OEE34" s="515"/>
      <c r="OEF34" s="515"/>
      <c r="OEG34" s="515"/>
      <c r="OEH34" s="515"/>
      <c r="OEI34" s="515"/>
      <c r="OEJ34" s="515"/>
      <c r="OEK34" s="514"/>
      <c r="OEL34" s="515"/>
      <c r="OEM34" s="515"/>
      <c r="OEN34" s="515"/>
      <c r="OEO34" s="515"/>
      <c r="OEP34" s="515"/>
      <c r="OEQ34" s="515"/>
      <c r="OER34" s="515"/>
      <c r="OES34" s="514"/>
      <c r="OET34" s="515"/>
      <c r="OEU34" s="515"/>
      <c r="OEV34" s="515"/>
      <c r="OEW34" s="515"/>
      <c r="OEX34" s="515"/>
      <c r="OEY34" s="515"/>
      <c r="OEZ34" s="515"/>
      <c r="OFA34" s="514"/>
      <c r="OFB34" s="515"/>
      <c r="OFC34" s="515"/>
      <c r="OFD34" s="515"/>
      <c r="OFE34" s="515"/>
      <c r="OFF34" s="515"/>
      <c r="OFG34" s="515"/>
      <c r="OFH34" s="515"/>
      <c r="OFI34" s="514"/>
      <c r="OFJ34" s="515"/>
      <c r="OFK34" s="515"/>
      <c r="OFL34" s="515"/>
      <c r="OFM34" s="515"/>
      <c r="OFN34" s="515"/>
      <c r="OFO34" s="515"/>
      <c r="OFP34" s="515"/>
      <c r="OFQ34" s="514"/>
      <c r="OFR34" s="515"/>
      <c r="OFS34" s="515"/>
      <c r="OFT34" s="515"/>
      <c r="OFU34" s="515"/>
      <c r="OFV34" s="515"/>
      <c r="OFW34" s="515"/>
      <c r="OFX34" s="515"/>
      <c r="OFY34" s="514"/>
      <c r="OFZ34" s="515"/>
      <c r="OGA34" s="515"/>
      <c r="OGB34" s="515"/>
      <c r="OGC34" s="515"/>
      <c r="OGD34" s="515"/>
      <c r="OGE34" s="515"/>
      <c r="OGF34" s="515"/>
      <c r="OGG34" s="514"/>
      <c r="OGH34" s="515"/>
      <c r="OGI34" s="515"/>
      <c r="OGJ34" s="515"/>
      <c r="OGK34" s="515"/>
      <c r="OGL34" s="515"/>
      <c r="OGM34" s="515"/>
      <c r="OGN34" s="515"/>
      <c r="OGO34" s="514"/>
      <c r="OGP34" s="515"/>
      <c r="OGQ34" s="515"/>
      <c r="OGR34" s="515"/>
      <c r="OGS34" s="515"/>
      <c r="OGT34" s="515"/>
      <c r="OGU34" s="515"/>
      <c r="OGV34" s="515"/>
      <c r="OGW34" s="514"/>
      <c r="OGX34" s="515"/>
      <c r="OGY34" s="515"/>
      <c r="OGZ34" s="515"/>
      <c r="OHA34" s="515"/>
      <c r="OHB34" s="515"/>
      <c r="OHC34" s="515"/>
      <c r="OHD34" s="515"/>
      <c r="OHE34" s="514"/>
      <c r="OHF34" s="515"/>
      <c r="OHG34" s="515"/>
      <c r="OHH34" s="515"/>
      <c r="OHI34" s="515"/>
      <c r="OHJ34" s="515"/>
      <c r="OHK34" s="515"/>
      <c r="OHL34" s="515"/>
      <c r="OHM34" s="514"/>
      <c r="OHN34" s="515"/>
      <c r="OHO34" s="515"/>
      <c r="OHP34" s="515"/>
      <c r="OHQ34" s="515"/>
      <c r="OHR34" s="515"/>
      <c r="OHS34" s="515"/>
      <c r="OHT34" s="515"/>
      <c r="OHU34" s="514"/>
      <c r="OHV34" s="515"/>
      <c r="OHW34" s="515"/>
      <c r="OHX34" s="515"/>
      <c r="OHY34" s="515"/>
      <c r="OHZ34" s="515"/>
      <c r="OIA34" s="515"/>
      <c r="OIB34" s="515"/>
      <c r="OIC34" s="514"/>
      <c r="OID34" s="515"/>
      <c r="OIE34" s="515"/>
      <c r="OIF34" s="515"/>
      <c r="OIG34" s="515"/>
      <c r="OIH34" s="515"/>
      <c r="OII34" s="515"/>
      <c r="OIJ34" s="515"/>
      <c r="OIK34" s="514"/>
      <c r="OIL34" s="515"/>
      <c r="OIM34" s="515"/>
      <c r="OIN34" s="515"/>
      <c r="OIO34" s="515"/>
      <c r="OIP34" s="515"/>
      <c r="OIQ34" s="515"/>
      <c r="OIR34" s="515"/>
      <c r="OIS34" s="514"/>
      <c r="OIT34" s="515"/>
      <c r="OIU34" s="515"/>
      <c r="OIV34" s="515"/>
      <c r="OIW34" s="515"/>
      <c r="OIX34" s="515"/>
      <c r="OIY34" s="515"/>
      <c r="OIZ34" s="515"/>
      <c r="OJA34" s="514"/>
      <c r="OJB34" s="515"/>
      <c r="OJC34" s="515"/>
      <c r="OJD34" s="515"/>
      <c r="OJE34" s="515"/>
      <c r="OJF34" s="515"/>
      <c r="OJG34" s="515"/>
      <c r="OJH34" s="515"/>
      <c r="OJI34" s="514"/>
      <c r="OJJ34" s="515"/>
      <c r="OJK34" s="515"/>
      <c r="OJL34" s="515"/>
      <c r="OJM34" s="515"/>
      <c r="OJN34" s="515"/>
      <c r="OJO34" s="515"/>
      <c r="OJP34" s="515"/>
      <c r="OJQ34" s="514"/>
      <c r="OJR34" s="515"/>
      <c r="OJS34" s="515"/>
      <c r="OJT34" s="515"/>
      <c r="OJU34" s="515"/>
      <c r="OJV34" s="515"/>
      <c r="OJW34" s="515"/>
      <c r="OJX34" s="515"/>
      <c r="OJY34" s="514"/>
      <c r="OJZ34" s="515"/>
      <c r="OKA34" s="515"/>
      <c r="OKB34" s="515"/>
      <c r="OKC34" s="515"/>
      <c r="OKD34" s="515"/>
      <c r="OKE34" s="515"/>
      <c r="OKF34" s="515"/>
      <c r="OKG34" s="514"/>
      <c r="OKH34" s="515"/>
      <c r="OKI34" s="515"/>
      <c r="OKJ34" s="515"/>
      <c r="OKK34" s="515"/>
      <c r="OKL34" s="515"/>
      <c r="OKM34" s="515"/>
      <c r="OKN34" s="515"/>
      <c r="OKO34" s="514"/>
      <c r="OKP34" s="515"/>
      <c r="OKQ34" s="515"/>
      <c r="OKR34" s="515"/>
      <c r="OKS34" s="515"/>
      <c r="OKT34" s="515"/>
      <c r="OKU34" s="515"/>
      <c r="OKV34" s="515"/>
      <c r="OKW34" s="514"/>
      <c r="OKX34" s="515"/>
      <c r="OKY34" s="515"/>
      <c r="OKZ34" s="515"/>
      <c r="OLA34" s="515"/>
      <c r="OLB34" s="515"/>
      <c r="OLC34" s="515"/>
      <c r="OLD34" s="515"/>
      <c r="OLE34" s="514"/>
      <c r="OLF34" s="515"/>
      <c r="OLG34" s="515"/>
      <c r="OLH34" s="515"/>
      <c r="OLI34" s="515"/>
      <c r="OLJ34" s="515"/>
      <c r="OLK34" s="515"/>
      <c r="OLL34" s="515"/>
      <c r="OLM34" s="514"/>
      <c r="OLN34" s="515"/>
      <c r="OLO34" s="515"/>
      <c r="OLP34" s="515"/>
      <c r="OLQ34" s="515"/>
      <c r="OLR34" s="515"/>
      <c r="OLS34" s="515"/>
      <c r="OLT34" s="515"/>
      <c r="OLU34" s="514"/>
      <c r="OLV34" s="515"/>
      <c r="OLW34" s="515"/>
      <c r="OLX34" s="515"/>
      <c r="OLY34" s="515"/>
      <c r="OLZ34" s="515"/>
      <c r="OMA34" s="515"/>
      <c r="OMB34" s="515"/>
      <c r="OMC34" s="514"/>
      <c r="OMD34" s="515"/>
      <c r="OME34" s="515"/>
      <c r="OMF34" s="515"/>
      <c r="OMG34" s="515"/>
      <c r="OMH34" s="515"/>
      <c r="OMI34" s="515"/>
      <c r="OMJ34" s="515"/>
      <c r="OMK34" s="514"/>
      <c r="OML34" s="515"/>
      <c r="OMM34" s="515"/>
      <c r="OMN34" s="515"/>
      <c r="OMO34" s="515"/>
      <c r="OMP34" s="515"/>
      <c r="OMQ34" s="515"/>
      <c r="OMR34" s="515"/>
      <c r="OMS34" s="514"/>
      <c r="OMT34" s="515"/>
      <c r="OMU34" s="515"/>
      <c r="OMV34" s="515"/>
      <c r="OMW34" s="515"/>
      <c r="OMX34" s="515"/>
      <c r="OMY34" s="515"/>
      <c r="OMZ34" s="515"/>
      <c r="ONA34" s="514"/>
      <c r="ONB34" s="515"/>
      <c r="ONC34" s="515"/>
      <c r="OND34" s="515"/>
      <c r="ONE34" s="515"/>
      <c r="ONF34" s="515"/>
      <c r="ONG34" s="515"/>
      <c r="ONH34" s="515"/>
      <c r="ONI34" s="514"/>
      <c r="ONJ34" s="515"/>
      <c r="ONK34" s="515"/>
      <c r="ONL34" s="515"/>
      <c r="ONM34" s="515"/>
      <c r="ONN34" s="515"/>
      <c r="ONO34" s="515"/>
      <c r="ONP34" s="515"/>
      <c r="ONQ34" s="514"/>
      <c r="ONR34" s="515"/>
      <c r="ONS34" s="515"/>
      <c r="ONT34" s="515"/>
      <c r="ONU34" s="515"/>
      <c r="ONV34" s="515"/>
      <c r="ONW34" s="515"/>
      <c r="ONX34" s="515"/>
      <c r="ONY34" s="514"/>
      <c r="ONZ34" s="515"/>
      <c r="OOA34" s="515"/>
      <c r="OOB34" s="515"/>
      <c r="OOC34" s="515"/>
      <c r="OOD34" s="515"/>
      <c r="OOE34" s="515"/>
      <c r="OOF34" s="515"/>
      <c r="OOG34" s="514"/>
      <c r="OOH34" s="515"/>
      <c r="OOI34" s="515"/>
      <c r="OOJ34" s="515"/>
      <c r="OOK34" s="515"/>
      <c r="OOL34" s="515"/>
      <c r="OOM34" s="515"/>
      <c r="OON34" s="515"/>
      <c r="OOO34" s="514"/>
      <c r="OOP34" s="515"/>
      <c r="OOQ34" s="515"/>
      <c r="OOR34" s="515"/>
      <c r="OOS34" s="515"/>
      <c r="OOT34" s="515"/>
      <c r="OOU34" s="515"/>
      <c r="OOV34" s="515"/>
      <c r="OOW34" s="514"/>
      <c r="OOX34" s="515"/>
      <c r="OOY34" s="515"/>
      <c r="OOZ34" s="515"/>
      <c r="OPA34" s="515"/>
      <c r="OPB34" s="515"/>
      <c r="OPC34" s="515"/>
      <c r="OPD34" s="515"/>
      <c r="OPE34" s="514"/>
      <c r="OPF34" s="515"/>
      <c r="OPG34" s="515"/>
      <c r="OPH34" s="515"/>
      <c r="OPI34" s="515"/>
      <c r="OPJ34" s="515"/>
      <c r="OPK34" s="515"/>
      <c r="OPL34" s="515"/>
      <c r="OPM34" s="514"/>
      <c r="OPN34" s="515"/>
      <c r="OPO34" s="515"/>
      <c r="OPP34" s="515"/>
      <c r="OPQ34" s="515"/>
      <c r="OPR34" s="515"/>
      <c r="OPS34" s="515"/>
      <c r="OPT34" s="515"/>
      <c r="OPU34" s="514"/>
      <c r="OPV34" s="515"/>
      <c r="OPW34" s="515"/>
      <c r="OPX34" s="515"/>
      <c r="OPY34" s="515"/>
      <c r="OPZ34" s="515"/>
      <c r="OQA34" s="515"/>
      <c r="OQB34" s="515"/>
      <c r="OQC34" s="514"/>
      <c r="OQD34" s="515"/>
      <c r="OQE34" s="515"/>
      <c r="OQF34" s="515"/>
      <c r="OQG34" s="515"/>
      <c r="OQH34" s="515"/>
      <c r="OQI34" s="515"/>
      <c r="OQJ34" s="515"/>
      <c r="OQK34" s="514"/>
      <c r="OQL34" s="515"/>
      <c r="OQM34" s="515"/>
      <c r="OQN34" s="515"/>
      <c r="OQO34" s="515"/>
      <c r="OQP34" s="515"/>
      <c r="OQQ34" s="515"/>
      <c r="OQR34" s="515"/>
      <c r="OQS34" s="514"/>
      <c r="OQT34" s="515"/>
      <c r="OQU34" s="515"/>
      <c r="OQV34" s="515"/>
      <c r="OQW34" s="515"/>
      <c r="OQX34" s="515"/>
      <c r="OQY34" s="515"/>
      <c r="OQZ34" s="515"/>
      <c r="ORA34" s="514"/>
      <c r="ORB34" s="515"/>
      <c r="ORC34" s="515"/>
      <c r="ORD34" s="515"/>
      <c r="ORE34" s="515"/>
      <c r="ORF34" s="515"/>
      <c r="ORG34" s="515"/>
      <c r="ORH34" s="515"/>
      <c r="ORI34" s="514"/>
      <c r="ORJ34" s="515"/>
      <c r="ORK34" s="515"/>
      <c r="ORL34" s="515"/>
      <c r="ORM34" s="515"/>
      <c r="ORN34" s="515"/>
      <c r="ORO34" s="515"/>
      <c r="ORP34" s="515"/>
      <c r="ORQ34" s="514"/>
      <c r="ORR34" s="515"/>
      <c r="ORS34" s="515"/>
      <c r="ORT34" s="515"/>
      <c r="ORU34" s="515"/>
      <c r="ORV34" s="515"/>
      <c r="ORW34" s="515"/>
      <c r="ORX34" s="515"/>
      <c r="ORY34" s="514"/>
      <c r="ORZ34" s="515"/>
      <c r="OSA34" s="515"/>
      <c r="OSB34" s="515"/>
      <c r="OSC34" s="515"/>
      <c r="OSD34" s="515"/>
      <c r="OSE34" s="515"/>
      <c r="OSF34" s="515"/>
      <c r="OSG34" s="514"/>
      <c r="OSH34" s="515"/>
      <c r="OSI34" s="515"/>
      <c r="OSJ34" s="515"/>
      <c r="OSK34" s="515"/>
      <c r="OSL34" s="515"/>
      <c r="OSM34" s="515"/>
      <c r="OSN34" s="515"/>
      <c r="OSO34" s="514"/>
      <c r="OSP34" s="515"/>
      <c r="OSQ34" s="515"/>
      <c r="OSR34" s="515"/>
      <c r="OSS34" s="515"/>
      <c r="OST34" s="515"/>
      <c r="OSU34" s="515"/>
      <c r="OSV34" s="515"/>
      <c r="OSW34" s="514"/>
      <c r="OSX34" s="515"/>
      <c r="OSY34" s="515"/>
      <c r="OSZ34" s="515"/>
      <c r="OTA34" s="515"/>
      <c r="OTB34" s="515"/>
      <c r="OTC34" s="515"/>
      <c r="OTD34" s="515"/>
      <c r="OTE34" s="514"/>
      <c r="OTF34" s="515"/>
      <c r="OTG34" s="515"/>
      <c r="OTH34" s="515"/>
      <c r="OTI34" s="515"/>
      <c r="OTJ34" s="515"/>
      <c r="OTK34" s="515"/>
      <c r="OTL34" s="515"/>
      <c r="OTM34" s="514"/>
      <c r="OTN34" s="515"/>
      <c r="OTO34" s="515"/>
      <c r="OTP34" s="515"/>
      <c r="OTQ34" s="515"/>
      <c r="OTR34" s="515"/>
      <c r="OTS34" s="515"/>
      <c r="OTT34" s="515"/>
      <c r="OTU34" s="514"/>
      <c r="OTV34" s="515"/>
      <c r="OTW34" s="515"/>
      <c r="OTX34" s="515"/>
      <c r="OTY34" s="515"/>
      <c r="OTZ34" s="515"/>
      <c r="OUA34" s="515"/>
      <c r="OUB34" s="515"/>
      <c r="OUC34" s="514"/>
      <c r="OUD34" s="515"/>
      <c r="OUE34" s="515"/>
      <c r="OUF34" s="515"/>
      <c r="OUG34" s="515"/>
      <c r="OUH34" s="515"/>
      <c r="OUI34" s="515"/>
      <c r="OUJ34" s="515"/>
      <c r="OUK34" s="514"/>
      <c r="OUL34" s="515"/>
      <c r="OUM34" s="515"/>
      <c r="OUN34" s="515"/>
      <c r="OUO34" s="515"/>
      <c r="OUP34" s="515"/>
      <c r="OUQ34" s="515"/>
      <c r="OUR34" s="515"/>
      <c r="OUS34" s="514"/>
      <c r="OUT34" s="515"/>
      <c r="OUU34" s="515"/>
      <c r="OUV34" s="515"/>
      <c r="OUW34" s="515"/>
      <c r="OUX34" s="515"/>
      <c r="OUY34" s="515"/>
      <c r="OUZ34" s="515"/>
      <c r="OVA34" s="514"/>
      <c r="OVB34" s="515"/>
      <c r="OVC34" s="515"/>
      <c r="OVD34" s="515"/>
      <c r="OVE34" s="515"/>
      <c r="OVF34" s="515"/>
      <c r="OVG34" s="515"/>
      <c r="OVH34" s="515"/>
      <c r="OVI34" s="514"/>
      <c r="OVJ34" s="515"/>
      <c r="OVK34" s="515"/>
      <c r="OVL34" s="515"/>
      <c r="OVM34" s="515"/>
      <c r="OVN34" s="515"/>
      <c r="OVO34" s="515"/>
      <c r="OVP34" s="515"/>
      <c r="OVQ34" s="514"/>
      <c r="OVR34" s="515"/>
      <c r="OVS34" s="515"/>
      <c r="OVT34" s="515"/>
      <c r="OVU34" s="515"/>
      <c r="OVV34" s="515"/>
      <c r="OVW34" s="515"/>
      <c r="OVX34" s="515"/>
      <c r="OVY34" s="514"/>
      <c r="OVZ34" s="515"/>
      <c r="OWA34" s="515"/>
      <c r="OWB34" s="515"/>
      <c r="OWC34" s="515"/>
      <c r="OWD34" s="515"/>
      <c r="OWE34" s="515"/>
      <c r="OWF34" s="515"/>
      <c r="OWG34" s="514"/>
      <c r="OWH34" s="515"/>
      <c r="OWI34" s="515"/>
      <c r="OWJ34" s="515"/>
      <c r="OWK34" s="515"/>
      <c r="OWL34" s="515"/>
      <c r="OWM34" s="515"/>
      <c r="OWN34" s="515"/>
      <c r="OWO34" s="514"/>
      <c r="OWP34" s="515"/>
      <c r="OWQ34" s="515"/>
      <c r="OWR34" s="515"/>
      <c r="OWS34" s="515"/>
      <c r="OWT34" s="515"/>
      <c r="OWU34" s="515"/>
      <c r="OWV34" s="515"/>
      <c r="OWW34" s="514"/>
      <c r="OWX34" s="515"/>
      <c r="OWY34" s="515"/>
      <c r="OWZ34" s="515"/>
      <c r="OXA34" s="515"/>
      <c r="OXB34" s="515"/>
      <c r="OXC34" s="515"/>
      <c r="OXD34" s="515"/>
      <c r="OXE34" s="514"/>
      <c r="OXF34" s="515"/>
      <c r="OXG34" s="515"/>
      <c r="OXH34" s="515"/>
      <c r="OXI34" s="515"/>
      <c r="OXJ34" s="515"/>
      <c r="OXK34" s="515"/>
      <c r="OXL34" s="515"/>
      <c r="OXM34" s="514"/>
      <c r="OXN34" s="515"/>
      <c r="OXO34" s="515"/>
      <c r="OXP34" s="515"/>
      <c r="OXQ34" s="515"/>
      <c r="OXR34" s="515"/>
      <c r="OXS34" s="515"/>
      <c r="OXT34" s="515"/>
      <c r="OXU34" s="514"/>
      <c r="OXV34" s="515"/>
      <c r="OXW34" s="515"/>
      <c r="OXX34" s="515"/>
      <c r="OXY34" s="515"/>
      <c r="OXZ34" s="515"/>
      <c r="OYA34" s="515"/>
      <c r="OYB34" s="515"/>
      <c r="OYC34" s="514"/>
      <c r="OYD34" s="515"/>
      <c r="OYE34" s="515"/>
      <c r="OYF34" s="515"/>
      <c r="OYG34" s="515"/>
      <c r="OYH34" s="515"/>
      <c r="OYI34" s="515"/>
      <c r="OYJ34" s="515"/>
      <c r="OYK34" s="514"/>
      <c r="OYL34" s="515"/>
      <c r="OYM34" s="515"/>
      <c r="OYN34" s="515"/>
      <c r="OYO34" s="515"/>
      <c r="OYP34" s="515"/>
      <c r="OYQ34" s="515"/>
      <c r="OYR34" s="515"/>
      <c r="OYS34" s="514"/>
      <c r="OYT34" s="515"/>
      <c r="OYU34" s="515"/>
      <c r="OYV34" s="515"/>
      <c r="OYW34" s="515"/>
      <c r="OYX34" s="515"/>
      <c r="OYY34" s="515"/>
      <c r="OYZ34" s="515"/>
      <c r="OZA34" s="514"/>
      <c r="OZB34" s="515"/>
      <c r="OZC34" s="515"/>
      <c r="OZD34" s="515"/>
      <c r="OZE34" s="515"/>
      <c r="OZF34" s="515"/>
      <c r="OZG34" s="515"/>
      <c r="OZH34" s="515"/>
      <c r="OZI34" s="514"/>
      <c r="OZJ34" s="515"/>
      <c r="OZK34" s="515"/>
      <c r="OZL34" s="515"/>
      <c r="OZM34" s="515"/>
      <c r="OZN34" s="515"/>
      <c r="OZO34" s="515"/>
      <c r="OZP34" s="515"/>
      <c r="OZQ34" s="514"/>
      <c r="OZR34" s="515"/>
      <c r="OZS34" s="515"/>
      <c r="OZT34" s="515"/>
      <c r="OZU34" s="515"/>
      <c r="OZV34" s="515"/>
      <c r="OZW34" s="515"/>
      <c r="OZX34" s="515"/>
      <c r="OZY34" s="514"/>
      <c r="OZZ34" s="515"/>
      <c r="PAA34" s="515"/>
      <c r="PAB34" s="515"/>
      <c r="PAC34" s="515"/>
      <c r="PAD34" s="515"/>
      <c r="PAE34" s="515"/>
      <c r="PAF34" s="515"/>
      <c r="PAG34" s="514"/>
      <c r="PAH34" s="515"/>
      <c r="PAI34" s="515"/>
      <c r="PAJ34" s="515"/>
      <c r="PAK34" s="515"/>
      <c r="PAL34" s="515"/>
      <c r="PAM34" s="515"/>
      <c r="PAN34" s="515"/>
      <c r="PAO34" s="514"/>
      <c r="PAP34" s="515"/>
      <c r="PAQ34" s="515"/>
      <c r="PAR34" s="515"/>
      <c r="PAS34" s="515"/>
      <c r="PAT34" s="515"/>
      <c r="PAU34" s="515"/>
      <c r="PAV34" s="515"/>
      <c r="PAW34" s="514"/>
      <c r="PAX34" s="515"/>
      <c r="PAY34" s="515"/>
      <c r="PAZ34" s="515"/>
      <c r="PBA34" s="515"/>
      <c r="PBB34" s="515"/>
      <c r="PBC34" s="515"/>
      <c r="PBD34" s="515"/>
      <c r="PBE34" s="514"/>
      <c r="PBF34" s="515"/>
      <c r="PBG34" s="515"/>
      <c r="PBH34" s="515"/>
      <c r="PBI34" s="515"/>
      <c r="PBJ34" s="515"/>
      <c r="PBK34" s="515"/>
      <c r="PBL34" s="515"/>
      <c r="PBM34" s="514"/>
      <c r="PBN34" s="515"/>
      <c r="PBO34" s="515"/>
      <c r="PBP34" s="515"/>
      <c r="PBQ34" s="515"/>
      <c r="PBR34" s="515"/>
      <c r="PBS34" s="515"/>
      <c r="PBT34" s="515"/>
      <c r="PBU34" s="514"/>
      <c r="PBV34" s="515"/>
      <c r="PBW34" s="515"/>
      <c r="PBX34" s="515"/>
      <c r="PBY34" s="515"/>
      <c r="PBZ34" s="515"/>
      <c r="PCA34" s="515"/>
      <c r="PCB34" s="515"/>
      <c r="PCC34" s="514"/>
      <c r="PCD34" s="515"/>
      <c r="PCE34" s="515"/>
      <c r="PCF34" s="515"/>
      <c r="PCG34" s="515"/>
      <c r="PCH34" s="515"/>
      <c r="PCI34" s="515"/>
      <c r="PCJ34" s="515"/>
      <c r="PCK34" s="514"/>
      <c r="PCL34" s="515"/>
      <c r="PCM34" s="515"/>
      <c r="PCN34" s="515"/>
      <c r="PCO34" s="515"/>
      <c r="PCP34" s="515"/>
      <c r="PCQ34" s="515"/>
      <c r="PCR34" s="515"/>
      <c r="PCS34" s="514"/>
      <c r="PCT34" s="515"/>
      <c r="PCU34" s="515"/>
      <c r="PCV34" s="515"/>
      <c r="PCW34" s="515"/>
      <c r="PCX34" s="515"/>
      <c r="PCY34" s="515"/>
      <c r="PCZ34" s="515"/>
      <c r="PDA34" s="514"/>
      <c r="PDB34" s="515"/>
      <c r="PDC34" s="515"/>
      <c r="PDD34" s="515"/>
      <c r="PDE34" s="515"/>
      <c r="PDF34" s="515"/>
      <c r="PDG34" s="515"/>
      <c r="PDH34" s="515"/>
      <c r="PDI34" s="514"/>
      <c r="PDJ34" s="515"/>
      <c r="PDK34" s="515"/>
      <c r="PDL34" s="515"/>
      <c r="PDM34" s="515"/>
      <c r="PDN34" s="515"/>
      <c r="PDO34" s="515"/>
      <c r="PDP34" s="515"/>
      <c r="PDQ34" s="514"/>
      <c r="PDR34" s="515"/>
      <c r="PDS34" s="515"/>
      <c r="PDT34" s="515"/>
      <c r="PDU34" s="515"/>
      <c r="PDV34" s="515"/>
      <c r="PDW34" s="515"/>
      <c r="PDX34" s="515"/>
      <c r="PDY34" s="514"/>
      <c r="PDZ34" s="515"/>
      <c r="PEA34" s="515"/>
      <c r="PEB34" s="515"/>
      <c r="PEC34" s="515"/>
      <c r="PED34" s="515"/>
      <c r="PEE34" s="515"/>
      <c r="PEF34" s="515"/>
      <c r="PEG34" s="514"/>
      <c r="PEH34" s="515"/>
      <c r="PEI34" s="515"/>
      <c r="PEJ34" s="515"/>
      <c r="PEK34" s="515"/>
      <c r="PEL34" s="515"/>
      <c r="PEM34" s="515"/>
      <c r="PEN34" s="515"/>
      <c r="PEO34" s="514"/>
      <c r="PEP34" s="515"/>
      <c r="PEQ34" s="515"/>
      <c r="PER34" s="515"/>
      <c r="PES34" s="515"/>
      <c r="PET34" s="515"/>
      <c r="PEU34" s="515"/>
      <c r="PEV34" s="515"/>
      <c r="PEW34" s="514"/>
      <c r="PEX34" s="515"/>
      <c r="PEY34" s="515"/>
      <c r="PEZ34" s="515"/>
      <c r="PFA34" s="515"/>
      <c r="PFB34" s="515"/>
      <c r="PFC34" s="515"/>
      <c r="PFD34" s="515"/>
      <c r="PFE34" s="514"/>
      <c r="PFF34" s="515"/>
      <c r="PFG34" s="515"/>
      <c r="PFH34" s="515"/>
      <c r="PFI34" s="515"/>
      <c r="PFJ34" s="515"/>
      <c r="PFK34" s="515"/>
      <c r="PFL34" s="515"/>
      <c r="PFM34" s="514"/>
      <c r="PFN34" s="515"/>
      <c r="PFO34" s="515"/>
      <c r="PFP34" s="515"/>
      <c r="PFQ34" s="515"/>
      <c r="PFR34" s="515"/>
      <c r="PFS34" s="515"/>
      <c r="PFT34" s="515"/>
      <c r="PFU34" s="514"/>
      <c r="PFV34" s="515"/>
      <c r="PFW34" s="515"/>
      <c r="PFX34" s="515"/>
      <c r="PFY34" s="515"/>
      <c r="PFZ34" s="515"/>
      <c r="PGA34" s="515"/>
      <c r="PGB34" s="515"/>
      <c r="PGC34" s="514"/>
      <c r="PGD34" s="515"/>
      <c r="PGE34" s="515"/>
      <c r="PGF34" s="515"/>
      <c r="PGG34" s="515"/>
      <c r="PGH34" s="515"/>
      <c r="PGI34" s="515"/>
      <c r="PGJ34" s="515"/>
      <c r="PGK34" s="514"/>
      <c r="PGL34" s="515"/>
      <c r="PGM34" s="515"/>
      <c r="PGN34" s="515"/>
      <c r="PGO34" s="515"/>
      <c r="PGP34" s="515"/>
      <c r="PGQ34" s="515"/>
      <c r="PGR34" s="515"/>
      <c r="PGS34" s="514"/>
      <c r="PGT34" s="515"/>
      <c r="PGU34" s="515"/>
      <c r="PGV34" s="515"/>
      <c r="PGW34" s="515"/>
      <c r="PGX34" s="515"/>
      <c r="PGY34" s="515"/>
      <c r="PGZ34" s="515"/>
      <c r="PHA34" s="514"/>
      <c r="PHB34" s="515"/>
      <c r="PHC34" s="515"/>
      <c r="PHD34" s="515"/>
      <c r="PHE34" s="515"/>
      <c r="PHF34" s="515"/>
      <c r="PHG34" s="515"/>
      <c r="PHH34" s="515"/>
      <c r="PHI34" s="514"/>
      <c r="PHJ34" s="515"/>
      <c r="PHK34" s="515"/>
      <c r="PHL34" s="515"/>
      <c r="PHM34" s="515"/>
      <c r="PHN34" s="515"/>
      <c r="PHO34" s="515"/>
      <c r="PHP34" s="515"/>
      <c r="PHQ34" s="514"/>
      <c r="PHR34" s="515"/>
      <c r="PHS34" s="515"/>
      <c r="PHT34" s="515"/>
      <c r="PHU34" s="515"/>
      <c r="PHV34" s="515"/>
      <c r="PHW34" s="515"/>
      <c r="PHX34" s="515"/>
      <c r="PHY34" s="514"/>
      <c r="PHZ34" s="515"/>
      <c r="PIA34" s="515"/>
      <c r="PIB34" s="515"/>
      <c r="PIC34" s="515"/>
      <c r="PID34" s="515"/>
      <c r="PIE34" s="515"/>
      <c r="PIF34" s="515"/>
      <c r="PIG34" s="514"/>
      <c r="PIH34" s="515"/>
      <c r="PII34" s="515"/>
      <c r="PIJ34" s="515"/>
      <c r="PIK34" s="515"/>
      <c r="PIL34" s="515"/>
      <c r="PIM34" s="515"/>
      <c r="PIN34" s="515"/>
      <c r="PIO34" s="514"/>
      <c r="PIP34" s="515"/>
      <c r="PIQ34" s="515"/>
      <c r="PIR34" s="515"/>
      <c r="PIS34" s="515"/>
      <c r="PIT34" s="515"/>
      <c r="PIU34" s="515"/>
      <c r="PIV34" s="515"/>
      <c r="PIW34" s="514"/>
      <c r="PIX34" s="515"/>
      <c r="PIY34" s="515"/>
      <c r="PIZ34" s="515"/>
      <c r="PJA34" s="515"/>
      <c r="PJB34" s="515"/>
      <c r="PJC34" s="515"/>
      <c r="PJD34" s="515"/>
      <c r="PJE34" s="514"/>
      <c r="PJF34" s="515"/>
      <c r="PJG34" s="515"/>
      <c r="PJH34" s="515"/>
      <c r="PJI34" s="515"/>
      <c r="PJJ34" s="515"/>
      <c r="PJK34" s="515"/>
      <c r="PJL34" s="515"/>
      <c r="PJM34" s="514"/>
      <c r="PJN34" s="515"/>
      <c r="PJO34" s="515"/>
      <c r="PJP34" s="515"/>
      <c r="PJQ34" s="515"/>
      <c r="PJR34" s="515"/>
      <c r="PJS34" s="515"/>
      <c r="PJT34" s="515"/>
      <c r="PJU34" s="514"/>
      <c r="PJV34" s="515"/>
      <c r="PJW34" s="515"/>
      <c r="PJX34" s="515"/>
      <c r="PJY34" s="515"/>
      <c r="PJZ34" s="515"/>
      <c r="PKA34" s="515"/>
      <c r="PKB34" s="515"/>
      <c r="PKC34" s="514"/>
      <c r="PKD34" s="515"/>
      <c r="PKE34" s="515"/>
      <c r="PKF34" s="515"/>
      <c r="PKG34" s="515"/>
      <c r="PKH34" s="515"/>
      <c r="PKI34" s="515"/>
      <c r="PKJ34" s="515"/>
      <c r="PKK34" s="514"/>
      <c r="PKL34" s="515"/>
      <c r="PKM34" s="515"/>
      <c r="PKN34" s="515"/>
      <c r="PKO34" s="515"/>
      <c r="PKP34" s="515"/>
      <c r="PKQ34" s="515"/>
      <c r="PKR34" s="515"/>
      <c r="PKS34" s="514"/>
      <c r="PKT34" s="515"/>
      <c r="PKU34" s="515"/>
      <c r="PKV34" s="515"/>
      <c r="PKW34" s="515"/>
      <c r="PKX34" s="515"/>
      <c r="PKY34" s="515"/>
      <c r="PKZ34" s="515"/>
      <c r="PLA34" s="514"/>
      <c r="PLB34" s="515"/>
      <c r="PLC34" s="515"/>
      <c r="PLD34" s="515"/>
      <c r="PLE34" s="515"/>
      <c r="PLF34" s="515"/>
      <c r="PLG34" s="515"/>
      <c r="PLH34" s="515"/>
      <c r="PLI34" s="514"/>
      <c r="PLJ34" s="515"/>
      <c r="PLK34" s="515"/>
      <c r="PLL34" s="515"/>
      <c r="PLM34" s="515"/>
      <c r="PLN34" s="515"/>
      <c r="PLO34" s="515"/>
      <c r="PLP34" s="515"/>
      <c r="PLQ34" s="514"/>
      <c r="PLR34" s="515"/>
      <c r="PLS34" s="515"/>
      <c r="PLT34" s="515"/>
      <c r="PLU34" s="515"/>
      <c r="PLV34" s="515"/>
      <c r="PLW34" s="515"/>
      <c r="PLX34" s="515"/>
      <c r="PLY34" s="514"/>
      <c r="PLZ34" s="515"/>
      <c r="PMA34" s="515"/>
      <c r="PMB34" s="515"/>
      <c r="PMC34" s="515"/>
      <c r="PMD34" s="515"/>
      <c r="PME34" s="515"/>
      <c r="PMF34" s="515"/>
      <c r="PMG34" s="514"/>
      <c r="PMH34" s="515"/>
      <c r="PMI34" s="515"/>
      <c r="PMJ34" s="515"/>
      <c r="PMK34" s="515"/>
      <c r="PML34" s="515"/>
      <c r="PMM34" s="515"/>
      <c r="PMN34" s="515"/>
      <c r="PMO34" s="514"/>
      <c r="PMP34" s="515"/>
      <c r="PMQ34" s="515"/>
      <c r="PMR34" s="515"/>
      <c r="PMS34" s="515"/>
      <c r="PMT34" s="515"/>
      <c r="PMU34" s="515"/>
      <c r="PMV34" s="515"/>
      <c r="PMW34" s="514"/>
      <c r="PMX34" s="515"/>
      <c r="PMY34" s="515"/>
      <c r="PMZ34" s="515"/>
      <c r="PNA34" s="515"/>
      <c r="PNB34" s="515"/>
      <c r="PNC34" s="515"/>
      <c r="PND34" s="515"/>
      <c r="PNE34" s="514"/>
      <c r="PNF34" s="515"/>
      <c r="PNG34" s="515"/>
      <c r="PNH34" s="515"/>
      <c r="PNI34" s="515"/>
      <c r="PNJ34" s="515"/>
      <c r="PNK34" s="515"/>
      <c r="PNL34" s="515"/>
      <c r="PNM34" s="514"/>
      <c r="PNN34" s="515"/>
      <c r="PNO34" s="515"/>
      <c r="PNP34" s="515"/>
      <c r="PNQ34" s="515"/>
      <c r="PNR34" s="515"/>
      <c r="PNS34" s="515"/>
      <c r="PNT34" s="515"/>
      <c r="PNU34" s="514"/>
      <c r="PNV34" s="515"/>
      <c r="PNW34" s="515"/>
      <c r="PNX34" s="515"/>
      <c r="PNY34" s="515"/>
      <c r="PNZ34" s="515"/>
      <c r="POA34" s="515"/>
      <c r="POB34" s="515"/>
      <c r="POC34" s="514"/>
      <c r="POD34" s="515"/>
      <c r="POE34" s="515"/>
      <c r="POF34" s="515"/>
      <c r="POG34" s="515"/>
      <c r="POH34" s="515"/>
      <c r="POI34" s="515"/>
      <c r="POJ34" s="515"/>
      <c r="POK34" s="514"/>
      <c r="POL34" s="515"/>
      <c r="POM34" s="515"/>
      <c r="PON34" s="515"/>
      <c r="POO34" s="515"/>
      <c r="POP34" s="515"/>
      <c r="POQ34" s="515"/>
      <c r="POR34" s="515"/>
      <c r="POS34" s="514"/>
      <c r="POT34" s="515"/>
      <c r="POU34" s="515"/>
      <c r="POV34" s="515"/>
      <c r="POW34" s="515"/>
      <c r="POX34" s="515"/>
      <c r="POY34" s="515"/>
      <c r="POZ34" s="515"/>
      <c r="PPA34" s="514"/>
      <c r="PPB34" s="515"/>
      <c r="PPC34" s="515"/>
      <c r="PPD34" s="515"/>
      <c r="PPE34" s="515"/>
      <c r="PPF34" s="515"/>
      <c r="PPG34" s="515"/>
      <c r="PPH34" s="515"/>
      <c r="PPI34" s="514"/>
      <c r="PPJ34" s="515"/>
      <c r="PPK34" s="515"/>
      <c r="PPL34" s="515"/>
      <c r="PPM34" s="515"/>
      <c r="PPN34" s="515"/>
      <c r="PPO34" s="515"/>
      <c r="PPP34" s="515"/>
      <c r="PPQ34" s="514"/>
      <c r="PPR34" s="515"/>
      <c r="PPS34" s="515"/>
      <c r="PPT34" s="515"/>
      <c r="PPU34" s="515"/>
      <c r="PPV34" s="515"/>
      <c r="PPW34" s="515"/>
      <c r="PPX34" s="515"/>
      <c r="PPY34" s="514"/>
      <c r="PPZ34" s="515"/>
      <c r="PQA34" s="515"/>
      <c r="PQB34" s="515"/>
      <c r="PQC34" s="515"/>
      <c r="PQD34" s="515"/>
      <c r="PQE34" s="515"/>
      <c r="PQF34" s="515"/>
      <c r="PQG34" s="514"/>
      <c r="PQH34" s="515"/>
      <c r="PQI34" s="515"/>
      <c r="PQJ34" s="515"/>
      <c r="PQK34" s="515"/>
      <c r="PQL34" s="515"/>
      <c r="PQM34" s="515"/>
      <c r="PQN34" s="515"/>
      <c r="PQO34" s="514"/>
      <c r="PQP34" s="515"/>
      <c r="PQQ34" s="515"/>
      <c r="PQR34" s="515"/>
      <c r="PQS34" s="515"/>
      <c r="PQT34" s="515"/>
      <c r="PQU34" s="515"/>
      <c r="PQV34" s="515"/>
      <c r="PQW34" s="514"/>
      <c r="PQX34" s="515"/>
      <c r="PQY34" s="515"/>
      <c r="PQZ34" s="515"/>
      <c r="PRA34" s="515"/>
      <c r="PRB34" s="515"/>
      <c r="PRC34" s="515"/>
      <c r="PRD34" s="515"/>
      <c r="PRE34" s="514"/>
      <c r="PRF34" s="515"/>
      <c r="PRG34" s="515"/>
      <c r="PRH34" s="515"/>
      <c r="PRI34" s="515"/>
      <c r="PRJ34" s="515"/>
      <c r="PRK34" s="515"/>
      <c r="PRL34" s="515"/>
      <c r="PRM34" s="514"/>
      <c r="PRN34" s="515"/>
      <c r="PRO34" s="515"/>
      <c r="PRP34" s="515"/>
      <c r="PRQ34" s="515"/>
      <c r="PRR34" s="515"/>
      <c r="PRS34" s="515"/>
      <c r="PRT34" s="515"/>
      <c r="PRU34" s="514"/>
      <c r="PRV34" s="515"/>
      <c r="PRW34" s="515"/>
      <c r="PRX34" s="515"/>
      <c r="PRY34" s="515"/>
      <c r="PRZ34" s="515"/>
      <c r="PSA34" s="515"/>
      <c r="PSB34" s="515"/>
      <c r="PSC34" s="514"/>
      <c r="PSD34" s="515"/>
      <c r="PSE34" s="515"/>
      <c r="PSF34" s="515"/>
      <c r="PSG34" s="515"/>
      <c r="PSH34" s="515"/>
      <c r="PSI34" s="515"/>
      <c r="PSJ34" s="515"/>
      <c r="PSK34" s="514"/>
      <c r="PSL34" s="515"/>
      <c r="PSM34" s="515"/>
      <c r="PSN34" s="515"/>
      <c r="PSO34" s="515"/>
      <c r="PSP34" s="515"/>
      <c r="PSQ34" s="515"/>
      <c r="PSR34" s="515"/>
      <c r="PSS34" s="514"/>
      <c r="PST34" s="515"/>
      <c r="PSU34" s="515"/>
      <c r="PSV34" s="515"/>
      <c r="PSW34" s="515"/>
      <c r="PSX34" s="515"/>
      <c r="PSY34" s="515"/>
      <c r="PSZ34" s="515"/>
      <c r="PTA34" s="514"/>
      <c r="PTB34" s="515"/>
      <c r="PTC34" s="515"/>
      <c r="PTD34" s="515"/>
      <c r="PTE34" s="515"/>
      <c r="PTF34" s="515"/>
      <c r="PTG34" s="515"/>
      <c r="PTH34" s="515"/>
      <c r="PTI34" s="514"/>
      <c r="PTJ34" s="515"/>
      <c r="PTK34" s="515"/>
      <c r="PTL34" s="515"/>
      <c r="PTM34" s="515"/>
      <c r="PTN34" s="515"/>
      <c r="PTO34" s="515"/>
      <c r="PTP34" s="515"/>
      <c r="PTQ34" s="514"/>
      <c r="PTR34" s="515"/>
      <c r="PTS34" s="515"/>
      <c r="PTT34" s="515"/>
      <c r="PTU34" s="515"/>
      <c r="PTV34" s="515"/>
      <c r="PTW34" s="515"/>
      <c r="PTX34" s="515"/>
      <c r="PTY34" s="514"/>
      <c r="PTZ34" s="515"/>
      <c r="PUA34" s="515"/>
      <c r="PUB34" s="515"/>
      <c r="PUC34" s="515"/>
      <c r="PUD34" s="515"/>
      <c r="PUE34" s="515"/>
      <c r="PUF34" s="515"/>
      <c r="PUG34" s="514"/>
      <c r="PUH34" s="515"/>
      <c r="PUI34" s="515"/>
      <c r="PUJ34" s="515"/>
      <c r="PUK34" s="515"/>
      <c r="PUL34" s="515"/>
      <c r="PUM34" s="515"/>
      <c r="PUN34" s="515"/>
      <c r="PUO34" s="514"/>
      <c r="PUP34" s="515"/>
      <c r="PUQ34" s="515"/>
      <c r="PUR34" s="515"/>
      <c r="PUS34" s="515"/>
      <c r="PUT34" s="515"/>
      <c r="PUU34" s="515"/>
      <c r="PUV34" s="515"/>
      <c r="PUW34" s="514"/>
      <c r="PUX34" s="515"/>
      <c r="PUY34" s="515"/>
      <c r="PUZ34" s="515"/>
      <c r="PVA34" s="515"/>
      <c r="PVB34" s="515"/>
      <c r="PVC34" s="515"/>
      <c r="PVD34" s="515"/>
      <c r="PVE34" s="514"/>
      <c r="PVF34" s="515"/>
      <c r="PVG34" s="515"/>
      <c r="PVH34" s="515"/>
      <c r="PVI34" s="515"/>
      <c r="PVJ34" s="515"/>
      <c r="PVK34" s="515"/>
      <c r="PVL34" s="515"/>
      <c r="PVM34" s="514"/>
      <c r="PVN34" s="515"/>
      <c r="PVO34" s="515"/>
      <c r="PVP34" s="515"/>
      <c r="PVQ34" s="515"/>
      <c r="PVR34" s="515"/>
      <c r="PVS34" s="515"/>
      <c r="PVT34" s="515"/>
      <c r="PVU34" s="514"/>
      <c r="PVV34" s="515"/>
      <c r="PVW34" s="515"/>
      <c r="PVX34" s="515"/>
      <c r="PVY34" s="515"/>
      <c r="PVZ34" s="515"/>
      <c r="PWA34" s="515"/>
      <c r="PWB34" s="515"/>
      <c r="PWC34" s="514"/>
      <c r="PWD34" s="515"/>
      <c r="PWE34" s="515"/>
      <c r="PWF34" s="515"/>
      <c r="PWG34" s="515"/>
      <c r="PWH34" s="515"/>
      <c r="PWI34" s="515"/>
      <c r="PWJ34" s="515"/>
      <c r="PWK34" s="514"/>
      <c r="PWL34" s="515"/>
      <c r="PWM34" s="515"/>
      <c r="PWN34" s="515"/>
      <c r="PWO34" s="515"/>
      <c r="PWP34" s="515"/>
      <c r="PWQ34" s="515"/>
      <c r="PWR34" s="515"/>
      <c r="PWS34" s="514"/>
      <c r="PWT34" s="515"/>
      <c r="PWU34" s="515"/>
      <c r="PWV34" s="515"/>
      <c r="PWW34" s="515"/>
      <c r="PWX34" s="515"/>
      <c r="PWY34" s="515"/>
      <c r="PWZ34" s="515"/>
      <c r="PXA34" s="514"/>
      <c r="PXB34" s="515"/>
      <c r="PXC34" s="515"/>
      <c r="PXD34" s="515"/>
      <c r="PXE34" s="515"/>
      <c r="PXF34" s="515"/>
      <c r="PXG34" s="515"/>
      <c r="PXH34" s="515"/>
      <c r="PXI34" s="514"/>
      <c r="PXJ34" s="515"/>
      <c r="PXK34" s="515"/>
      <c r="PXL34" s="515"/>
      <c r="PXM34" s="515"/>
      <c r="PXN34" s="515"/>
      <c r="PXO34" s="515"/>
      <c r="PXP34" s="515"/>
      <c r="PXQ34" s="514"/>
      <c r="PXR34" s="515"/>
      <c r="PXS34" s="515"/>
      <c r="PXT34" s="515"/>
      <c r="PXU34" s="515"/>
      <c r="PXV34" s="515"/>
      <c r="PXW34" s="515"/>
      <c r="PXX34" s="515"/>
      <c r="PXY34" s="514"/>
      <c r="PXZ34" s="515"/>
      <c r="PYA34" s="515"/>
      <c r="PYB34" s="515"/>
      <c r="PYC34" s="515"/>
      <c r="PYD34" s="515"/>
      <c r="PYE34" s="515"/>
      <c r="PYF34" s="515"/>
      <c r="PYG34" s="514"/>
      <c r="PYH34" s="515"/>
      <c r="PYI34" s="515"/>
      <c r="PYJ34" s="515"/>
      <c r="PYK34" s="515"/>
      <c r="PYL34" s="515"/>
      <c r="PYM34" s="515"/>
      <c r="PYN34" s="515"/>
      <c r="PYO34" s="514"/>
      <c r="PYP34" s="515"/>
      <c r="PYQ34" s="515"/>
      <c r="PYR34" s="515"/>
      <c r="PYS34" s="515"/>
      <c r="PYT34" s="515"/>
      <c r="PYU34" s="515"/>
      <c r="PYV34" s="515"/>
      <c r="PYW34" s="514"/>
      <c r="PYX34" s="515"/>
      <c r="PYY34" s="515"/>
      <c r="PYZ34" s="515"/>
      <c r="PZA34" s="515"/>
      <c r="PZB34" s="515"/>
      <c r="PZC34" s="515"/>
      <c r="PZD34" s="515"/>
      <c r="PZE34" s="514"/>
      <c r="PZF34" s="515"/>
      <c r="PZG34" s="515"/>
      <c r="PZH34" s="515"/>
      <c r="PZI34" s="515"/>
      <c r="PZJ34" s="515"/>
      <c r="PZK34" s="515"/>
      <c r="PZL34" s="515"/>
      <c r="PZM34" s="514"/>
      <c r="PZN34" s="515"/>
      <c r="PZO34" s="515"/>
      <c r="PZP34" s="515"/>
      <c r="PZQ34" s="515"/>
      <c r="PZR34" s="515"/>
      <c r="PZS34" s="515"/>
      <c r="PZT34" s="515"/>
      <c r="PZU34" s="514"/>
      <c r="PZV34" s="515"/>
      <c r="PZW34" s="515"/>
      <c r="PZX34" s="515"/>
      <c r="PZY34" s="515"/>
      <c r="PZZ34" s="515"/>
      <c r="QAA34" s="515"/>
      <c r="QAB34" s="515"/>
      <c r="QAC34" s="514"/>
      <c r="QAD34" s="515"/>
      <c r="QAE34" s="515"/>
      <c r="QAF34" s="515"/>
      <c r="QAG34" s="515"/>
      <c r="QAH34" s="515"/>
      <c r="QAI34" s="515"/>
      <c r="QAJ34" s="515"/>
      <c r="QAK34" s="514"/>
      <c r="QAL34" s="515"/>
      <c r="QAM34" s="515"/>
      <c r="QAN34" s="515"/>
      <c r="QAO34" s="515"/>
      <c r="QAP34" s="515"/>
      <c r="QAQ34" s="515"/>
      <c r="QAR34" s="515"/>
      <c r="QAS34" s="514"/>
      <c r="QAT34" s="515"/>
      <c r="QAU34" s="515"/>
      <c r="QAV34" s="515"/>
      <c r="QAW34" s="515"/>
      <c r="QAX34" s="515"/>
      <c r="QAY34" s="515"/>
      <c r="QAZ34" s="515"/>
      <c r="QBA34" s="514"/>
      <c r="QBB34" s="515"/>
      <c r="QBC34" s="515"/>
      <c r="QBD34" s="515"/>
      <c r="QBE34" s="515"/>
      <c r="QBF34" s="515"/>
      <c r="QBG34" s="515"/>
      <c r="QBH34" s="515"/>
      <c r="QBI34" s="514"/>
      <c r="QBJ34" s="515"/>
      <c r="QBK34" s="515"/>
      <c r="QBL34" s="515"/>
      <c r="QBM34" s="515"/>
      <c r="QBN34" s="515"/>
      <c r="QBO34" s="515"/>
      <c r="QBP34" s="515"/>
      <c r="QBQ34" s="514"/>
      <c r="QBR34" s="515"/>
      <c r="QBS34" s="515"/>
      <c r="QBT34" s="515"/>
      <c r="QBU34" s="515"/>
      <c r="QBV34" s="515"/>
      <c r="QBW34" s="515"/>
      <c r="QBX34" s="515"/>
      <c r="QBY34" s="514"/>
      <c r="QBZ34" s="515"/>
      <c r="QCA34" s="515"/>
      <c r="QCB34" s="515"/>
      <c r="QCC34" s="515"/>
      <c r="QCD34" s="515"/>
      <c r="QCE34" s="515"/>
      <c r="QCF34" s="515"/>
      <c r="QCG34" s="514"/>
      <c r="QCH34" s="515"/>
      <c r="QCI34" s="515"/>
      <c r="QCJ34" s="515"/>
      <c r="QCK34" s="515"/>
      <c r="QCL34" s="515"/>
      <c r="QCM34" s="515"/>
      <c r="QCN34" s="515"/>
      <c r="QCO34" s="514"/>
      <c r="QCP34" s="515"/>
      <c r="QCQ34" s="515"/>
      <c r="QCR34" s="515"/>
      <c r="QCS34" s="515"/>
      <c r="QCT34" s="515"/>
      <c r="QCU34" s="515"/>
      <c r="QCV34" s="515"/>
      <c r="QCW34" s="514"/>
      <c r="QCX34" s="515"/>
      <c r="QCY34" s="515"/>
      <c r="QCZ34" s="515"/>
      <c r="QDA34" s="515"/>
      <c r="QDB34" s="515"/>
      <c r="QDC34" s="515"/>
      <c r="QDD34" s="515"/>
      <c r="QDE34" s="514"/>
      <c r="QDF34" s="515"/>
      <c r="QDG34" s="515"/>
      <c r="QDH34" s="515"/>
      <c r="QDI34" s="515"/>
      <c r="QDJ34" s="515"/>
      <c r="QDK34" s="515"/>
      <c r="QDL34" s="515"/>
      <c r="QDM34" s="514"/>
      <c r="QDN34" s="515"/>
      <c r="QDO34" s="515"/>
      <c r="QDP34" s="515"/>
      <c r="QDQ34" s="515"/>
      <c r="QDR34" s="515"/>
      <c r="QDS34" s="515"/>
      <c r="QDT34" s="515"/>
      <c r="QDU34" s="514"/>
      <c r="QDV34" s="515"/>
      <c r="QDW34" s="515"/>
      <c r="QDX34" s="515"/>
      <c r="QDY34" s="515"/>
      <c r="QDZ34" s="515"/>
      <c r="QEA34" s="515"/>
      <c r="QEB34" s="515"/>
      <c r="QEC34" s="514"/>
      <c r="QED34" s="515"/>
      <c r="QEE34" s="515"/>
      <c r="QEF34" s="515"/>
      <c r="QEG34" s="515"/>
      <c r="QEH34" s="515"/>
      <c r="QEI34" s="515"/>
      <c r="QEJ34" s="515"/>
      <c r="QEK34" s="514"/>
      <c r="QEL34" s="515"/>
      <c r="QEM34" s="515"/>
      <c r="QEN34" s="515"/>
      <c r="QEO34" s="515"/>
      <c r="QEP34" s="515"/>
      <c r="QEQ34" s="515"/>
      <c r="QER34" s="515"/>
      <c r="QES34" s="514"/>
      <c r="QET34" s="515"/>
      <c r="QEU34" s="515"/>
      <c r="QEV34" s="515"/>
      <c r="QEW34" s="515"/>
      <c r="QEX34" s="515"/>
      <c r="QEY34" s="515"/>
      <c r="QEZ34" s="515"/>
      <c r="QFA34" s="514"/>
      <c r="QFB34" s="515"/>
      <c r="QFC34" s="515"/>
      <c r="QFD34" s="515"/>
      <c r="QFE34" s="515"/>
      <c r="QFF34" s="515"/>
      <c r="QFG34" s="515"/>
      <c r="QFH34" s="515"/>
      <c r="QFI34" s="514"/>
      <c r="QFJ34" s="515"/>
      <c r="QFK34" s="515"/>
      <c r="QFL34" s="515"/>
      <c r="QFM34" s="515"/>
      <c r="QFN34" s="515"/>
      <c r="QFO34" s="515"/>
      <c r="QFP34" s="515"/>
      <c r="QFQ34" s="514"/>
      <c r="QFR34" s="515"/>
      <c r="QFS34" s="515"/>
      <c r="QFT34" s="515"/>
      <c r="QFU34" s="515"/>
      <c r="QFV34" s="515"/>
      <c r="QFW34" s="515"/>
      <c r="QFX34" s="515"/>
      <c r="QFY34" s="514"/>
      <c r="QFZ34" s="515"/>
      <c r="QGA34" s="515"/>
      <c r="QGB34" s="515"/>
      <c r="QGC34" s="515"/>
      <c r="QGD34" s="515"/>
      <c r="QGE34" s="515"/>
      <c r="QGF34" s="515"/>
      <c r="QGG34" s="514"/>
      <c r="QGH34" s="515"/>
      <c r="QGI34" s="515"/>
      <c r="QGJ34" s="515"/>
      <c r="QGK34" s="515"/>
      <c r="QGL34" s="515"/>
      <c r="QGM34" s="515"/>
      <c r="QGN34" s="515"/>
      <c r="QGO34" s="514"/>
      <c r="QGP34" s="515"/>
      <c r="QGQ34" s="515"/>
      <c r="QGR34" s="515"/>
      <c r="QGS34" s="515"/>
      <c r="QGT34" s="515"/>
      <c r="QGU34" s="515"/>
      <c r="QGV34" s="515"/>
      <c r="QGW34" s="514"/>
      <c r="QGX34" s="515"/>
      <c r="QGY34" s="515"/>
      <c r="QGZ34" s="515"/>
      <c r="QHA34" s="515"/>
      <c r="QHB34" s="515"/>
      <c r="QHC34" s="515"/>
      <c r="QHD34" s="515"/>
      <c r="QHE34" s="514"/>
      <c r="QHF34" s="515"/>
      <c r="QHG34" s="515"/>
      <c r="QHH34" s="515"/>
      <c r="QHI34" s="515"/>
      <c r="QHJ34" s="515"/>
      <c r="QHK34" s="515"/>
      <c r="QHL34" s="515"/>
      <c r="QHM34" s="514"/>
      <c r="QHN34" s="515"/>
      <c r="QHO34" s="515"/>
      <c r="QHP34" s="515"/>
      <c r="QHQ34" s="515"/>
      <c r="QHR34" s="515"/>
      <c r="QHS34" s="515"/>
      <c r="QHT34" s="515"/>
      <c r="QHU34" s="514"/>
      <c r="QHV34" s="515"/>
      <c r="QHW34" s="515"/>
      <c r="QHX34" s="515"/>
      <c r="QHY34" s="515"/>
      <c r="QHZ34" s="515"/>
      <c r="QIA34" s="515"/>
      <c r="QIB34" s="515"/>
      <c r="QIC34" s="514"/>
      <c r="QID34" s="515"/>
      <c r="QIE34" s="515"/>
      <c r="QIF34" s="515"/>
      <c r="QIG34" s="515"/>
      <c r="QIH34" s="515"/>
      <c r="QII34" s="515"/>
      <c r="QIJ34" s="515"/>
      <c r="QIK34" s="514"/>
      <c r="QIL34" s="515"/>
      <c r="QIM34" s="515"/>
      <c r="QIN34" s="515"/>
      <c r="QIO34" s="515"/>
      <c r="QIP34" s="515"/>
      <c r="QIQ34" s="515"/>
      <c r="QIR34" s="515"/>
      <c r="QIS34" s="514"/>
      <c r="QIT34" s="515"/>
      <c r="QIU34" s="515"/>
      <c r="QIV34" s="515"/>
      <c r="QIW34" s="515"/>
      <c r="QIX34" s="515"/>
      <c r="QIY34" s="515"/>
      <c r="QIZ34" s="515"/>
      <c r="QJA34" s="514"/>
      <c r="QJB34" s="515"/>
      <c r="QJC34" s="515"/>
      <c r="QJD34" s="515"/>
      <c r="QJE34" s="515"/>
      <c r="QJF34" s="515"/>
      <c r="QJG34" s="515"/>
      <c r="QJH34" s="515"/>
      <c r="QJI34" s="514"/>
      <c r="QJJ34" s="515"/>
      <c r="QJK34" s="515"/>
      <c r="QJL34" s="515"/>
      <c r="QJM34" s="515"/>
      <c r="QJN34" s="515"/>
      <c r="QJO34" s="515"/>
      <c r="QJP34" s="515"/>
      <c r="QJQ34" s="514"/>
      <c r="QJR34" s="515"/>
      <c r="QJS34" s="515"/>
      <c r="QJT34" s="515"/>
      <c r="QJU34" s="515"/>
      <c r="QJV34" s="515"/>
      <c r="QJW34" s="515"/>
      <c r="QJX34" s="515"/>
      <c r="QJY34" s="514"/>
      <c r="QJZ34" s="515"/>
      <c r="QKA34" s="515"/>
      <c r="QKB34" s="515"/>
      <c r="QKC34" s="515"/>
      <c r="QKD34" s="515"/>
      <c r="QKE34" s="515"/>
      <c r="QKF34" s="515"/>
      <c r="QKG34" s="514"/>
      <c r="QKH34" s="515"/>
      <c r="QKI34" s="515"/>
      <c r="QKJ34" s="515"/>
      <c r="QKK34" s="515"/>
      <c r="QKL34" s="515"/>
      <c r="QKM34" s="515"/>
      <c r="QKN34" s="515"/>
      <c r="QKO34" s="514"/>
      <c r="QKP34" s="515"/>
      <c r="QKQ34" s="515"/>
      <c r="QKR34" s="515"/>
      <c r="QKS34" s="515"/>
      <c r="QKT34" s="515"/>
      <c r="QKU34" s="515"/>
      <c r="QKV34" s="515"/>
      <c r="QKW34" s="514"/>
      <c r="QKX34" s="515"/>
      <c r="QKY34" s="515"/>
      <c r="QKZ34" s="515"/>
      <c r="QLA34" s="515"/>
      <c r="QLB34" s="515"/>
      <c r="QLC34" s="515"/>
      <c r="QLD34" s="515"/>
      <c r="QLE34" s="514"/>
      <c r="QLF34" s="515"/>
      <c r="QLG34" s="515"/>
      <c r="QLH34" s="515"/>
      <c r="QLI34" s="515"/>
      <c r="QLJ34" s="515"/>
      <c r="QLK34" s="515"/>
      <c r="QLL34" s="515"/>
      <c r="QLM34" s="514"/>
      <c r="QLN34" s="515"/>
      <c r="QLO34" s="515"/>
      <c r="QLP34" s="515"/>
      <c r="QLQ34" s="515"/>
      <c r="QLR34" s="515"/>
      <c r="QLS34" s="515"/>
      <c r="QLT34" s="515"/>
      <c r="QLU34" s="514"/>
      <c r="QLV34" s="515"/>
      <c r="QLW34" s="515"/>
      <c r="QLX34" s="515"/>
      <c r="QLY34" s="515"/>
      <c r="QLZ34" s="515"/>
      <c r="QMA34" s="515"/>
      <c r="QMB34" s="515"/>
      <c r="QMC34" s="514"/>
      <c r="QMD34" s="515"/>
      <c r="QME34" s="515"/>
      <c r="QMF34" s="515"/>
      <c r="QMG34" s="515"/>
      <c r="QMH34" s="515"/>
      <c r="QMI34" s="515"/>
      <c r="QMJ34" s="515"/>
      <c r="QMK34" s="514"/>
      <c r="QML34" s="515"/>
      <c r="QMM34" s="515"/>
      <c r="QMN34" s="515"/>
      <c r="QMO34" s="515"/>
      <c r="QMP34" s="515"/>
      <c r="QMQ34" s="515"/>
      <c r="QMR34" s="515"/>
      <c r="QMS34" s="514"/>
      <c r="QMT34" s="515"/>
      <c r="QMU34" s="515"/>
      <c r="QMV34" s="515"/>
      <c r="QMW34" s="515"/>
      <c r="QMX34" s="515"/>
      <c r="QMY34" s="515"/>
      <c r="QMZ34" s="515"/>
      <c r="QNA34" s="514"/>
      <c r="QNB34" s="515"/>
      <c r="QNC34" s="515"/>
      <c r="QND34" s="515"/>
      <c r="QNE34" s="515"/>
      <c r="QNF34" s="515"/>
      <c r="QNG34" s="515"/>
      <c r="QNH34" s="515"/>
      <c r="QNI34" s="514"/>
      <c r="QNJ34" s="515"/>
      <c r="QNK34" s="515"/>
      <c r="QNL34" s="515"/>
      <c r="QNM34" s="515"/>
      <c r="QNN34" s="515"/>
      <c r="QNO34" s="515"/>
      <c r="QNP34" s="515"/>
      <c r="QNQ34" s="514"/>
      <c r="QNR34" s="515"/>
      <c r="QNS34" s="515"/>
      <c r="QNT34" s="515"/>
      <c r="QNU34" s="515"/>
      <c r="QNV34" s="515"/>
      <c r="QNW34" s="515"/>
      <c r="QNX34" s="515"/>
      <c r="QNY34" s="514"/>
      <c r="QNZ34" s="515"/>
      <c r="QOA34" s="515"/>
      <c r="QOB34" s="515"/>
      <c r="QOC34" s="515"/>
      <c r="QOD34" s="515"/>
      <c r="QOE34" s="515"/>
      <c r="QOF34" s="515"/>
      <c r="QOG34" s="514"/>
      <c r="QOH34" s="515"/>
      <c r="QOI34" s="515"/>
      <c r="QOJ34" s="515"/>
      <c r="QOK34" s="515"/>
      <c r="QOL34" s="515"/>
      <c r="QOM34" s="515"/>
      <c r="QON34" s="515"/>
      <c r="QOO34" s="514"/>
      <c r="QOP34" s="515"/>
      <c r="QOQ34" s="515"/>
      <c r="QOR34" s="515"/>
      <c r="QOS34" s="515"/>
      <c r="QOT34" s="515"/>
      <c r="QOU34" s="515"/>
      <c r="QOV34" s="515"/>
      <c r="QOW34" s="514"/>
      <c r="QOX34" s="515"/>
      <c r="QOY34" s="515"/>
      <c r="QOZ34" s="515"/>
      <c r="QPA34" s="515"/>
      <c r="QPB34" s="515"/>
      <c r="QPC34" s="515"/>
      <c r="QPD34" s="515"/>
      <c r="QPE34" s="514"/>
      <c r="QPF34" s="515"/>
      <c r="QPG34" s="515"/>
      <c r="QPH34" s="515"/>
      <c r="QPI34" s="515"/>
      <c r="QPJ34" s="515"/>
      <c r="QPK34" s="515"/>
      <c r="QPL34" s="515"/>
      <c r="QPM34" s="514"/>
      <c r="QPN34" s="515"/>
      <c r="QPO34" s="515"/>
      <c r="QPP34" s="515"/>
      <c r="QPQ34" s="515"/>
      <c r="QPR34" s="515"/>
      <c r="QPS34" s="515"/>
      <c r="QPT34" s="515"/>
      <c r="QPU34" s="514"/>
      <c r="QPV34" s="515"/>
      <c r="QPW34" s="515"/>
      <c r="QPX34" s="515"/>
      <c r="QPY34" s="515"/>
      <c r="QPZ34" s="515"/>
      <c r="QQA34" s="515"/>
      <c r="QQB34" s="515"/>
      <c r="QQC34" s="514"/>
      <c r="QQD34" s="515"/>
      <c r="QQE34" s="515"/>
      <c r="QQF34" s="515"/>
      <c r="QQG34" s="515"/>
      <c r="QQH34" s="515"/>
      <c r="QQI34" s="515"/>
      <c r="QQJ34" s="515"/>
      <c r="QQK34" s="514"/>
      <c r="QQL34" s="515"/>
      <c r="QQM34" s="515"/>
      <c r="QQN34" s="515"/>
      <c r="QQO34" s="515"/>
      <c r="QQP34" s="515"/>
      <c r="QQQ34" s="515"/>
      <c r="QQR34" s="515"/>
      <c r="QQS34" s="514"/>
      <c r="QQT34" s="515"/>
      <c r="QQU34" s="515"/>
      <c r="QQV34" s="515"/>
      <c r="QQW34" s="515"/>
      <c r="QQX34" s="515"/>
      <c r="QQY34" s="515"/>
      <c r="QQZ34" s="515"/>
      <c r="QRA34" s="514"/>
      <c r="QRB34" s="515"/>
      <c r="QRC34" s="515"/>
      <c r="QRD34" s="515"/>
      <c r="QRE34" s="515"/>
      <c r="QRF34" s="515"/>
      <c r="QRG34" s="515"/>
      <c r="QRH34" s="515"/>
      <c r="QRI34" s="514"/>
      <c r="QRJ34" s="515"/>
      <c r="QRK34" s="515"/>
      <c r="QRL34" s="515"/>
      <c r="QRM34" s="515"/>
      <c r="QRN34" s="515"/>
      <c r="QRO34" s="515"/>
      <c r="QRP34" s="515"/>
      <c r="QRQ34" s="514"/>
      <c r="QRR34" s="515"/>
      <c r="QRS34" s="515"/>
      <c r="QRT34" s="515"/>
      <c r="QRU34" s="515"/>
      <c r="QRV34" s="515"/>
      <c r="QRW34" s="515"/>
      <c r="QRX34" s="515"/>
      <c r="QRY34" s="514"/>
      <c r="QRZ34" s="515"/>
      <c r="QSA34" s="515"/>
      <c r="QSB34" s="515"/>
      <c r="QSC34" s="515"/>
      <c r="QSD34" s="515"/>
      <c r="QSE34" s="515"/>
      <c r="QSF34" s="515"/>
      <c r="QSG34" s="514"/>
      <c r="QSH34" s="515"/>
      <c r="QSI34" s="515"/>
      <c r="QSJ34" s="515"/>
      <c r="QSK34" s="515"/>
      <c r="QSL34" s="515"/>
      <c r="QSM34" s="515"/>
      <c r="QSN34" s="515"/>
      <c r="QSO34" s="514"/>
      <c r="QSP34" s="515"/>
      <c r="QSQ34" s="515"/>
      <c r="QSR34" s="515"/>
      <c r="QSS34" s="515"/>
      <c r="QST34" s="515"/>
      <c r="QSU34" s="515"/>
      <c r="QSV34" s="515"/>
      <c r="QSW34" s="514"/>
      <c r="QSX34" s="515"/>
      <c r="QSY34" s="515"/>
      <c r="QSZ34" s="515"/>
      <c r="QTA34" s="515"/>
      <c r="QTB34" s="515"/>
      <c r="QTC34" s="515"/>
      <c r="QTD34" s="515"/>
      <c r="QTE34" s="514"/>
      <c r="QTF34" s="515"/>
      <c r="QTG34" s="515"/>
      <c r="QTH34" s="515"/>
      <c r="QTI34" s="515"/>
      <c r="QTJ34" s="515"/>
      <c r="QTK34" s="515"/>
      <c r="QTL34" s="515"/>
      <c r="QTM34" s="514"/>
      <c r="QTN34" s="515"/>
      <c r="QTO34" s="515"/>
      <c r="QTP34" s="515"/>
      <c r="QTQ34" s="515"/>
      <c r="QTR34" s="515"/>
      <c r="QTS34" s="515"/>
      <c r="QTT34" s="515"/>
      <c r="QTU34" s="514"/>
      <c r="QTV34" s="515"/>
      <c r="QTW34" s="515"/>
      <c r="QTX34" s="515"/>
      <c r="QTY34" s="515"/>
      <c r="QTZ34" s="515"/>
      <c r="QUA34" s="515"/>
      <c r="QUB34" s="515"/>
      <c r="QUC34" s="514"/>
      <c r="QUD34" s="515"/>
      <c r="QUE34" s="515"/>
      <c r="QUF34" s="515"/>
      <c r="QUG34" s="515"/>
      <c r="QUH34" s="515"/>
      <c r="QUI34" s="515"/>
      <c r="QUJ34" s="515"/>
      <c r="QUK34" s="514"/>
      <c r="QUL34" s="515"/>
      <c r="QUM34" s="515"/>
      <c r="QUN34" s="515"/>
      <c r="QUO34" s="515"/>
      <c r="QUP34" s="515"/>
      <c r="QUQ34" s="515"/>
      <c r="QUR34" s="515"/>
      <c r="QUS34" s="514"/>
      <c r="QUT34" s="515"/>
      <c r="QUU34" s="515"/>
      <c r="QUV34" s="515"/>
      <c r="QUW34" s="515"/>
      <c r="QUX34" s="515"/>
      <c r="QUY34" s="515"/>
      <c r="QUZ34" s="515"/>
      <c r="QVA34" s="514"/>
      <c r="QVB34" s="515"/>
      <c r="QVC34" s="515"/>
      <c r="QVD34" s="515"/>
      <c r="QVE34" s="515"/>
      <c r="QVF34" s="515"/>
      <c r="QVG34" s="515"/>
      <c r="QVH34" s="515"/>
      <c r="QVI34" s="514"/>
      <c r="QVJ34" s="515"/>
      <c r="QVK34" s="515"/>
      <c r="QVL34" s="515"/>
      <c r="QVM34" s="515"/>
      <c r="QVN34" s="515"/>
      <c r="QVO34" s="515"/>
      <c r="QVP34" s="515"/>
      <c r="QVQ34" s="514"/>
      <c r="QVR34" s="515"/>
      <c r="QVS34" s="515"/>
      <c r="QVT34" s="515"/>
      <c r="QVU34" s="515"/>
      <c r="QVV34" s="515"/>
      <c r="QVW34" s="515"/>
      <c r="QVX34" s="515"/>
      <c r="QVY34" s="514"/>
      <c r="QVZ34" s="515"/>
      <c r="QWA34" s="515"/>
      <c r="QWB34" s="515"/>
      <c r="QWC34" s="515"/>
      <c r="QWD34" s="515"/>
      <c r="QWE34" s="515"/>
      <c r="QWF34" s="515"/>
      <c r="QWG34" s="514"/>
      <c r="QWH34" s="515"/>
      <c r="QWI34" s="515"/>
      <c r="QWJ34" s="515"/>
      <c r="QWK34" s="515"/>
      <c r="QWL34" s="515"/>
      <c r="QWM34" s="515"/>
      <c r="QWN34" s="515"/>
      <c r="QWO34" s="514"/>
      <c r="QWP34" s="515"/>
      <c r="QWQ34" s="515"/>
      <c r="QWR34" s="515"/>
      <c r="QWS34" s="515"/>
      <c r="QWT34" s="515"/>
      <c r="QWU34" s="515"/>
      <c r="QWV34" s="515"/>
      <c r="QWW34" s="514"/>
      <c r="QWX34" s="515"/>
      <c r="QWY34" s="515"/>
      <c r="QWZ34" s="515"/>
      <c r="QXA34" s="515"/>
      <c r="QXB34" s="515"/>
      <c r="QXC34" s="515"/>
      <c r="QXD34" s="515"/>
      <c r="QXE34" s="514"/>
      <c r="QXF34" s="515"/>
      <c r="QXG34" s="515"/>
      <c r="QXH34" s="515"/>
      <c r="QXI34" s="515"/>
      <c r="QXJ34" s="515"/>
      <c r="QXK34" s="515"/>
      <c r="QXL34" s="515"/>
      <c r="QXM34" s="514"/>
      <c r="QXN34" s="515"/>
      <c r="QXO34" s="515"/>
      <c r="QXP34" s="515"/>
      <c r="QXQ34" s="515"/>
      <c r="QXR34" s="515"/>
      <c r="QXS34" s="515"/>
      <c r="QXT34" s="515"/>
      <c r="QXU34" s="514"/>
      <c r="QXV34" s="515"/>
      <c r="QXW34" s="515"/>
      <c r="QXX34" s="515"/>
      <c r="QXY34" s="515"/>
      <c r="QXZ34" s="515"/>
      <c r="QYA34" s="515"/>
      <c r="QYB34" s="515"/>
      <c r="QYC34" s="514"/>
      <c r="QYD34" s="515"/>
      <c r="QYE34" s="515"/>
      <c r="QYF34" s="515"/>
      <c r="QYG34" s="515"/>
      <c r="QYH34" s="515"/>
      <c r="QYI34" s="515"/>
      <c r="QYJ34" s="515"/>
      <c r="QYK34" s="514"/>
      <c r="QYL34" s="515"/>
      <c r="QYM34" s="515"/>
      <c r="QYN34" s="515"/>
      <c r="QYO34" s="515"/>
      <c r="QYP34" s="515"/>
      <c r="QYQ34" s="515"/>
      <c r="QYR34" s="515"/>
      <c r="QYS34" s="514"/>
      <c r="QYT34" s="515"/>
      <c r="QYU34" s="515"/>
      <c r="QYV34" s="515"/>
      <c r="QYW34" s="515"/>
      <c r="QYX34" s="515"/>
      <c r="QYY34" s="515"/>
      <c r="QYZ34" s="515"/>
      <c r="QZA34" s="514"/>
      <c r="QZB34" s="515"/>
      <c r="QZC34" s="515"/>
      <c r="QZD34" s="515"/>
      <c r="QZE34" s="515"/>
      <c r="QZF34" s="515"/>
      <c r="QZG34" s="515"/>
      <c r="QZH34" s="515"/>
      <c r="QZI34" s="514"/>
      <c r="QZJ34" s="515"/>
      <c r="QZK34" s="515"/>
      <c r="QZL34" s="515"/>
      <c r="QZM34" s="515"/>
      <c r="QZN34" s="515"/>
      <c r="QZO34" s="515"/>
      <c r="QZP34" s="515"/>
      <c r="QZQ34" s="514"/>
      <c r="QZR34" s="515"/>
      <c r="QZS34" s="515"/>
      <c r="QZT34" s="515"/>
      <c r="QZU34" s="515"/>
      <c r="QZV34" s="515"/>
      <c r="QZW34" s="515"/>
      <c r="QZX34" s="515"/>
      <c r="QZY34" s="514"/>
      <c r="QZZ34" s="515"/>
      <c r="RAA34" s="515"/>
      <c r="RAB34" s="515"/>
      <c r="RAC34" s="515"/>
      <c r="RAD34" s="515"/>
      <c r="RAE34" s="515"/>
      <c r="RAF34" s="515"/>
      <c r="RAG34" s="514"/>
      <c r="RAH34" s="515"/>
      <c r="RAI34" s="515"/>
      <c r="RAJ34" s="515"/>
      <c r="RAK34" s="515"/>
      <c r="RAL34" s="515"/>
      <c r="RAM34" s="515"/>
      <c r="RAN34" s="515"/>
      <c r="RAO34" s="514"/>
      <c r="RAP34" s="515"/>
      <c r="RAQ34" s="515"/>
      <c r="RAR34" s="515"/>
      <c r="RAS34" s="515"/>
      <c r="RAT34" s="515"/>
      <c r="RAU34" s="515"/>
      <c r="RAV34" s="515"/>
      <c r="RAW34" s="514"/>
      <c r="RAX34" s="515"/>
      <c r="RAY34" s="515"/>
      <c r="RAZ34" s="515"/>
      <c r="RBA34" s="515"/>
      <c r="RBB34" s="515"/>
      <c r="RBC34" s="515"/>
      <c r="RBD34" s="515"/>
      <c r="RBE34" s="514"/>
      <c r="RBF34" s="515"/>
      <c r="RBG34" s="515"/>
      <c r="RBH34" s="515"/>
      <c r="RBI34" s="515"/>
      <c r="RBJ34" s="515"/>
      <c r="RBK34" s="515"/>
      <c r="RBL34" s="515"/>
      <c r="RBM34" s="514"/>
      <c r="RBN34" s="515"/>
      <c r="RBO34" s="515"/>
      <c r="RBP34" s="515"/>
      <c r="RBQ34" s="515"/>
      <c r="RBR34" s="515"/>
      <c r="RBS34" s="515"/>
      <c r="RBT34" s="515"/>
      <c r="RBU34" s="514"/>
      <c r="RBV34" s="515"/>
      <c r="RBW34" s="515"/>
      <c r="RBX34" s="515"/>
      <c r="RBY34" s="515"/>
      <c r="RBZ34" s="515"/>
      <c r="RCA34" s="515"/>
      <c r="RCB34" s="515"/>
      <c r="RCC34" s="514"/>
      <c r="RCD34" s="515"/>
      <c r="RCE34" s="515"/>
      <c r="RCF34" s="515"/>
      <c r="RCG34" s="515"/>
      <c r="RCH34" s="515"/>
      <c r="RCI34" s="515"/>
      <c r="RCJ34" s="515"/>
      <c r="RCK34" s="514"/>
      <c r="RCL34" s="515"/>
      <c r="RCM34" s="515"/>
      <c r="RCN34" s="515"/>
      <c r="RCO34" s="515"/>
      <c r="RCP34" s="515"/>
      <c r="RCQ34" s="515"/>
      <c r="RCR34" s="515"/>
      <c r="RCS34" s="514"/>
      <c r="RCT34" s="515"/>
      <c r="RCU34" s="515"/>
      <c r="RCV34" s="515"/>
      <c r="RCW34" s="515"/>
      <c r="RCX34" s="515"/>
      <c r="RCY34" s="515"/>
      <c r="RCZ34" s="515"/>
      <c r="RDA34" s="514"/>
      <c r="RDB34" s="515"/>
      <c r="RDC34" s="515"/>
      <c r="RDD34" s="515"/>
      <c r="RDE34" s="515"/>
      <c r="RDF34" s="515"/>
      <c r="RDG34" s="515"/>
      <c r="RDH34" s="515"/>
      <c r="RDI34" s="514"/>
      <c r="RDJ34" s="515"/>
      <c r="RDK34" s="515"/>
      <c r="RDL34" s="515"/>
      <c r="RDM34" s="515"/>
      <c r="RDN34" s="515"/>
      <c r="RDO34" s="515"/>
      <c r="RDP34" s="515"/>
      <c r="RDQ34" s="514"/>
      <c r="RDR34" s="515"/>
      <c r="RDS34" s="515"/>
      <c r="RDT34" s="515"/>
      <c r="RDU34" s="515"/>
      <c r="RDV34" s="515"/>
      <c r="RDW34" s="515"/>
      <c r="RDX34" s="515"/>
      <c r="RDY34" s="514"/>
      <c r="RDZ34" s="515"/>
      <c r="REA34" s="515"/>
      <c r="REB34" s="515"/>
      <c r="REC34" s="515"/>
      <c r="RED34" s="515"/>
      <c r="REE34" s="515"/>
      <c r="REF34" s="515"/>
      <c r="REG34" s="514"/>
      <c r="REH34" s="515"/>
      <c r="REI34" s="515"/>
      <c r="REJ34" s="515"/>
      <c r="REK34" s="515"/>
      <c r="REL34" s="515"/>
      <c r="REM34" s="515"/>
      <c r="REN34" s="515"/>
      <c r="REO34" s="514"/>
      <c r="REP34" s="515"/>
      <c r="REQ34" s="515"/>
      <c r="RER34" s="515"/>
      <c r="RES34" s="515"/>
      <c r="RET34" s="515"/>
      <c r="REU34" s="515"/>
      <c r="REV34" s="515"/>
      <c r="REW34" s="514"/>
      <c r="REX34" s="515"/>
      <c r="REY34" s="515"/>
      <c r="REZ34" s="515"/>
      <c r="RFA34" s="515"/>
      <c r="RFB34" s="515"/>
      <c r="RFC34" s="515"/>
      <c r="RFD34" s="515"/>
      <c r="RFE34" s="514"/>
      <c r="RFF34" s="515"/>
      <c r="RFG34" s="515"/>
      <c r="RFH34" s="515"/>
      <c r="RFI34" s="515"/>
      <c r="RFJ34" s="515"/>
      <c r="RFK34" s="515"/>
      <c r="RFL34" s="515"/>
      <c r="RFM34" s="514"/>
      <c r="RFN34" s="515"/>
      <c r="RFO34" s="515"/>
      <c r="RFP34" s="515"/>
      <c r="RFQ34" s="515"/>
      <c r="RFR34" s="515"/>
      <c r="RFS34" s="515"/>
      <c r="RFT34" s="515"/>
      <c r="RFU34" s="514"/>
      <c r="RFV34" s="515"/>
      <c r="RFW34" s="515"/>
      <c r="RFX34" s="515"/>
      <c r="RFY34" s="515"/>
      <c r="RFZ34" s="515"/>
      <c r="RGA34" s="515"/>
      <c r="RGB34" s="515"/>
      <c r="RGC34" s="514"/>
      <c r="RGD34" s="515"/>
      <c r="RGE34" s="515"/>
      <c r="RGF34" s="515"/>
      <c r="RGG34" s="515"/>
      <c r="RGH34" s="515"/>
      <c r="RGI34" s="515"/>
      <c r="RGJ34" s="515"/>
      <c r="RGK34" s="514"/>
      <c r="RGL34" s="515"/>
      <c r="RGM34" s="515"/>
      <c r="RGN34" s="515"/>
      <c r="RGO34" s="515"/>
      <c r="RGP34" s="515"/>
      <c r="RGQ34" s="515"/>
      <c r="RGR34" s="515"/>
      <c r="RGS34" s="514"/>
      <c r="RGT34" s="515"/>
      <c r="RGU34" s="515"/>
      <c r="RGV34" s="515"/>
      <c r="RGW34" s="515"/>
      <c r="RGX34" s="515"/>
      <c r="RGY34" s="515"/>
      <c r="RGZ34" s="515"/>
      <c r="RHA34" s="514"/>
      <c r="RHB34" s="515"/>
      <c r="RHC34" s="515"/>
      <c r="RHD34" s="515"/>
      <c r="RHE34" s="515"/>
      <c r="RHF34" s="515"/>
      <c r="RHG34" s="515"/>
      <c r="RHH34" s="515"/>
      <c r="RHI34" s="514"/>
      <c r="RHJ34" s="515"/>
      <c r="RHK34" s="515"/>
      <c r="RHL34" s="515"/>
      <c r="RHM34" s="515"/>
      <c r="RHN34" s="515"/>
      <c r="RHO34" s="515"/>
      <c r="RHP34" s="515"/>
      <c r="RHQ34" s="514"/>
      <c r="RHR34" s="515"/>
      <c r="RHS34" s="515"/>
      <c r="RHT34" s="515"/>
      <c r="RHU34" s="515"/>
      <c r="RHV34" s="515"/>
      <c r="RHW34" s="515"/>
      <c r="RHX34" s="515"/>
      <c r="RHY34" s="514"/>
      <c r="RHZ34" s="515"/>
      <c r="RIA34" s="515"/>
      <c r="RIB34" s="515"/>
      <c r="RIC34" s="515"/>
      <c r="RID34" s="515"/>
      <c r="RIE34" s="515"/>
      <c r="RIF34" s="515"/>
      <c r="RIG34" s="514"/>
      <c r="RIH34" s="515"/>
      <c r="RII34" s="515"/>
      <c r="RIJ34" s="515"/>
      <c r="RIK34" s="515"/>
      <c r="RIL34" s="515"/>
      <c r="RIM34" s="515"/>
      <c r="RIN34" s="515"/>
      <c r="RIO34" s="514"/>
      <c r="RIP34" s="515"/>
      <c r="RIQ34" s="515"/>
      <c r="RIR34" s="515"/>
      <c r="RIS34" s="515"/>
      <c r="RIT34" s="515"/>
      <c r="RIU34" s="515"/>
      <c r="RIV34" s="515"/>
      <c r="RIW34" s="514"/>
      <c r="RIX34" s="515"/>
      <c r="RIY34" s="515"/>
      <c r="RIZ34" s="515"/>
      <c r="RJA34" s="515"/>
      <c r="RJB34" s="515"/>
      <c r="RJC34" s="515"/>
      <c r="RJD34" s="515"/>
      <c r="RJE34" s="514"/>
      <c r="RJF34" s="515"/>
      <c r="RJG34" s="515"/>
      <c r="RJH34" s="515"/>
      <c r="RJI34" s="515"/>
      <c r="RJJ34" s="515"/>
      <c r="RJK34" s="515"/>
      <c r="RJL34" s="515"/>
      <c r="RJM34" s="514"/>
      <c r="RJN34" s="515"/>
      <c r="RJO34" s="515"/>
      <c r="RJP34" s="515"/>
      <c r="RJQ34" s="515"/>
      <c r="RJR34" s="515"/>
      <c r="RJS34" s="515"/>
      <c r="RJT34" s="515"/>
      <c r="RJU34" s="514"/>
      <c r="RJV34" s="515"/>
      <c r="RJW34" s="515"/>
      <c r="RJX34" s="515"/>
      <c r="RJY34" s="515"/>
      <c r="RJZ34" s="515"/>
      <c r="RKA34" s="515"/>
      <c r="RKB34" s="515"/>
      <c r="RKC34" s="514"/>
      <c r="RKD34" s="515"/>
      <c r="RKE34" s="515"/>
      <c r="RKF34" s="515"/>
      <c r="RKG34" s="515"/>
      <c r="RKH34" s="515"/>
      <c r="RKI34" s="515"/>
      <c r="RKJ34" s="515"/>
      <c r="RKK34" s="514"/>
      <c r="RKL34" s="515"/>
      <c r="RKM34" s="515"/>
      <c r="RKN34" s="515"/>
      <c r="RKO34" s="515"/>
      <c r="RKP34" s="515"/>
      <c r="RKQ34" s="515"/>
      <c r="RKR34" s="515"/>
      <c r="RKS34" s="514"/>
      <c r="RKT34" s="515"/>
      <c r="RKU34" s="515"/>
      <c r="RKV34" s="515"/>
      <c r="RKW34" s="515"/>
      <c r="RKX34" s="515"/>
      <c r="RKY34" s="515"/>
      <c r="RKZ34" s="515"/>
      <c r="RLA34" s="514"/>
      <c r="RLB34" s="515"/>
      <c r="RLC34" s="515"/>
      <c r="RLD34" s="515"/>
      <c r="RLE34" s="515"/>
      <c r="RLF34" s="515"/>
      <c r="RLG34" s="515"/>
      <c r="RLH34" s="515"/>
      <c r="RLI34" s="514"/>
      <c r="RLJ34" s="515"/>
      <c r="RLK34" s="515"/>
      <c r="RLL34" s="515"/>
      <c r="RLM34" s="515"/>
      <c r="RLN34" s="515"/>
      <c r="RLO34" s="515"/>
      <c r="RLP34" s="515"/>
      <c r="RLQ34" s="514"/>
      <c r="RLR34" s="515"/>
      <c r="RLS34" s="515"/>
      <c r="RLT34" s="515"/>
      <c r="RLU34" s="515"/>
      <c r="RLV34" s="515"/>
      <c r="RLW34" s="515"/>
      <c r="RLX34" s="515"/>
      <c r="RLY34" s="514"/>
      <c r="RLZ34" s="515"/>
      <c r="RMA34" s="515"/>
      <c r="RMB34" s="515"/>
      <c r="RMC34" s="515"/>
      <c r="RMD34" s="515"/>
      <c r="RME34" s="515"/>
      <c r="RMF34" s="515"/>
      <c r="RMG34" s="514"/>
      <c r="RMH34" s="515"/>
      <c r="RMI34" s="515"/>
      <c r="RMJ34" s="515"/>
      <c r="RMK34" s="515"/>
      <c r="RML34" s="515"/>
      <c r="RMM34" s="515"/>
      <c r="RMN34" s="515"/>
      <c r="RMO34" s="514"/>
      <c r="RMP34" s="515"/>
      <c r="RMQ34" s="515"/>
      <c r="RMR34" s="515"/>
      <c r="RMS34" s="515"/>
      <c r="RMT34" s="515"/>
      <c r="RMU34" s="515"/>
      <c r="RMV34" s="515"/>
      <c r="RMW34" s="514"/>
      <c r="RMX34" s="515"/>
      <c r="RMY34" s="515"/>
      <c r="RMZ34" s="515"/>
      <c r="RNA34" s="515"/>
      <c r="RNB34" s="515"/>
      <c r="RNC34" s="515"/>
      <c r="RND34" s="515"/>
      <c r="RNE34" s="514"/>
      <c r="RNF34" s="515"/>
      <c r="RNG34" s="515"/>
      <c r="RNH34" s="515"/>
      <c r="RNI34" s="515"/>
      <c r="RNJ34" s="515"/>
      <c r="RNK34" s="515"/>
      <c r="RNL34" s="515"/>
      <c r="RNM34" s="514"/>
      <c r="RNN34" s="515"/>
      <c r="RNO34" s="515"/>
      <c r="RNP34" s="515"/>
      <c r="RNQ34" s="515"/>
      <c r="RNR34" s="515"/>
      <c r="RNS34" s="515"/>
      <c r="RNT34" s="515"/>
      <c r="RNU34" s="514"/>
      <c r="RNV34" s="515"/>
      <c r="RNW34" s="515"/>
      <c r="RNX34" s="515"/>
      <c r="RNY34" s="515"/>
      <c r="RNZ34" s="515"/>
      <c r="ROA34" s="515"/>
      <c r="ROB34" s="515"/>
      <c r="ROC34" s="514"/>
      <c r="ROD34" s="515"/>
      <c r="ROE34" s="515"/>
      <c r="ROF34" s="515"/>
      <c r="ROG34" s="515"/>
      <c r="ROH34" s="515"/>
      <c r="ROI34" s="515"/>
      <c r="ROJ34" s="515"/>
      <c r="ROK34" s="514"/>
      <c r="ROL34" s="515"/>
      <c r="ROM34" s="515"/>
      <c r="RON34" s="515"/>
      <c r="ROO34" s="515"/>
      <c r="ROP34" s="515"/>
      <c r="ROQ34" s="515"/>
      <c r="ROR34" s="515"/>
      <c r="ROS34" s="514"/>
      <c r="ROT34" s="515"/>
      <c r="ROU34" s="515"/>
      <c r="ROV34" s="515"/>
      <c r="ROW34" s="515"/>
      <c r="ROX34" s="515"/>
      <c r="ROY34" s="515"/>
      <c r="ROZ34" s="515"/>
      <c r="RPA34" s="514"/>
      <c r="RPB34" s="515"/>
      <c r="RPC34" s="515"/>
      <c r="RPD34" s="515"/>
      <c r="RPE34" s="515"/>
      <c r="RPF34" s="515"/>
      <c r="RPG34" s="515"/>
      <c r="RPH34" s="515"/>
      <c r="RPI34" s="514"/>
      <c r="RPJ34" s="515"/>
      <c r="RPK34" s="515"/>
      <c r="RPL34" s="515"/>
      <c r="RPM34" s="515"/>
      <c r="RPN34" s="515"/>
      <c r="RPO34" s="515"/>
      <c r="RPP34" s="515"/>
      <c r="RPQ34" s="514"/>
      <c r="RPR34" s="515"/>
      <c r="RPS34" s="515"/>
      <c r="RPT34" s="515"/>
      <c r="RPU34" s="515"/>
      <c r="RPV34" s="515"/>
      <c r="RPW34" s="515"/>
      <c r="RPX34" s="515"/>
      <c r="RPY34" s="514"/>
      <c r="RPZ34" s="515"/>
      <c r="RQA34" s="515"/>
      <c r="RQB34" s="515"/>
      <c r="RQC34" s="515"/>
      <c r="RQD34" s="515"/>
      <c r="RQE34" s="515"/>
      <c r="RQF34" s="515"/>
      <c r="RQG34" s="514"/>
      <c r="RQH34" s="515"/>
      <c r="RQI34" s="515"/>
      <c r="RQJ34" s="515"/>
      <c r="RQK34" s="515"/>
      <c r="RQL34" s="515"/>
      <c r="RQM34" s="515"/>
      <c r="RQN34" s="515"/>
      <c r="RQO34" s="514"/>
      <c r="RQP34" s="515"/>
      <c r="RQQ34" s="515"/>
      <c r="RQR34" s="515"/>
      <c r="RQS34" s="515"/>
      <c r="RQT34" s="515"/>
      <c r="RQU34" s="515"/>
      <c r="RQV34" s="515"/>
      <c r="RQW34" s="514"/>
      <c r="RQX34" s="515"/>
      <c r="RQY34" s="515"/>
      <c r="RQZ34" s="515"/>
      <c r="RRA34" s="515"/>
      <c r="RRB34" s="515"/>
      <c r="RRC34" s="515"/>
      <c r="RRD34" s="515"/>
      <c r="RRE34" s="514"/>
      <c r="RRF34" s="515"/>
      <c r="RRG34" s="515"/>
      <c r="RRH34" s="515"/>
      <c r="RRI34" s="515"/>
      <c r="RRJ34" s="515"/>
      <c r="RRK34" s="515"/>
      <c r="RRL34" s="515"/>
      <c r="RRM34" s="514"/>
      <c r="RRN34" s="515"/>
      <c r="RRO34" s="515"/>
      <c r="RRP34" s="515"/>
      <c r="RRQ34" s="515"/>
      <c r="RRR34" s="515"/>
      <c r="RRS34" s="515"/>
      <c r="RRT34" s="515"/>
      <c r="RRU34" s="514"/>
      <c r="RRV34" s="515"/>
      <c r="RRW34" s="515"/>
      <c r="RRX34" s="515"/>
      <c r="RRY34" s="515"/>
      <c r="RRZ34" s="515"/>
      <c r="RSA34" s="515"/>
      <c r="RSB34" s="515"/>
      <c r="RSC34" s="514"/>
      <c r="RSD34" s="515"/>
      <c r="RSE34" s="515"/>
      <c r="RSF34" s="515"/>
      <c r="RSG34" s="515"/>
      <c r="RSH34" s="515"/>
      <c r="RSI34" s="515"/>
      <c r="RSJ34" s="515"/>
      <c r="RSK34" s="514"/>
      <c r="RSL34" s="515"/>
      <c r="RSM34" s="515"/>
      <c r="RSN34" s="515"/>
      <c r="RSO34" s="515"/>
      <c r="RSP34" s="515"/>
      <c r="RSQ34" s="515"/>
      <c r="RSR34" s="515"/>
      <c r="RSS34" s="514"/>
      <c r="RST34" s="515"/>
      <c r="RSU34" s="515"/>
      <c r="RSV34" s="515"/>
      <c r="RSW34" s="515"/>
      <c r="RSX34" s="515"/>
      <c r="RSY34" s="515"/>
      <c r="RSZ34" s="515"/>
      <c r="RTA34" s="514"/>
      <c r="RTB34" s="515"/>
      <c r="RTC34" s="515"/>
      <c r="RTD34" s="515"/>
      <c r="RTE34" s="515"/>
      <c r="RTF34" s="515"/>
      <c r="RTG34" s="515"/>
      <c r="RTH34" s="515"/>
      <c r="RTI34" s="514"/>
      <c r="RTJ34" s="515"/>
      <c r="RTK34" s="515"/>
      <c r="RTL34" s="515"/>
      <c r="RTM34" s="515"/>
      <c r="RTN34" s="515"/>
      <c r="RTO34" s="515"/>
      <c r="RTP34" s="515"/>
      <c r="RTQ34" s="514"/>
      <c r="RTR34" s="515"/>
      <c r="RTS34" s="515"/>
      <c r="RTT34" s="515"/>
      <c r="RTU34" s="515"/>
      <c r="RTV34" s="515"/>
      <c r="RTW34" s="515"/>
      <c r="RTX34" s="515"/>
      <c r="RTY34" s="514"/>
      <c r="RTZ34" s="515"/>
      <c r="RUA34" s="515"/>
      <c r="RUB34" s="515"/>
      <c r="RUC34" s="515"/>
      <c r="RUD34" s="515"/>
      <c r="RUE34" s="515"/>
      <c r="RUF34" s="515"/>
      <c r="RUG34" s="514"/>
      <c r="RUH34" s="515"/>
      <c r="RUI34" s="515"/>
      <c r="RUJ34" s="515"/>
      <c r="RUK34" s="515"/>
      <c r="RUL34" s="515"/>
      <c r="RUM34" s="515"/>
      <c r="RUN34" s="515"/>
      <c r="RUO34" s="514"/>
      <c r="RUP34" s="515"/>
      <c r="RUQ34" s="515"/>
      <c r="RUR34" s="515"/>
      <c r="RUS34" s="515"/>
      <c r="RUT34" s="515"/>
      <c r="RUU34" s="515"/>
      <c r="RUV34" s="515"/>
      <c r="RUW34" s="514"/>
      <c r="RUX34" s="515"/>
      <c r="RUY34" s="515"/>
      <c r="RUZ34" s="515"/>
      <c r="RVA34" s="515"/>
      <c r="RVB34" s="515"/>
      <c r="RVC34" s="515"/>
      <c r="RVD34" s="515"/>
      <c r="RVE34" s="514"/>
      <c r="RVF34" s="515"/>
      <c r="RVG34" s="515"/>
      <c r="RVH34" s="515"/>
      <c r="RVI34" s="515"/>
      <c r="RVJ34" s="515"/>
      <c r="RVK34" s="515"/>
      <c r="RVL34" s="515"/>
      <c r="RVM34" s="514"/>
      <c r="RVN34" s="515"/>
      <c r="RVO34" s="515"/>
      <c r="RVP34" s="515"/>
      <c r="RVQ34" s="515"/>
      <c r="RVR34" s="515"/>
      <c r="RVS34" s="515"/>
      <c r="RVT34" s="515"/>
      <c r="RVU34" s="514"/>
      <c r="RVV34" s="515"/>
      <c r="RVW34" s="515"/>
      <c r="RVX34" s="515"/>
      <c r="RVY34" s="515"/>
      <c r="RVZ34" s="515"/>
      <c r="RWA34" s="515"/>
      <c r="RWB34" s="515"/>
      <c r="RWC34" s="514"/>
      <c r="RWD34" s="515"/>
      <c r="RWE34" s="515"/>
      <c r="RWF34" s="515"/>
      <c r="RWG34" s="515"/>
      <c r="RWH34" s="515"/>
      <c r="RWI34" s="515"/>
      <c r="RWJ34" s="515"/>
      <c r="RWK34" s="514"/>
      <c r="RWL34" s="515"/>
      <c r="RWM34" s="515"/>
      <c r="RWN34" s="515"/>
      <c r="RWO34" s="515"/>
      <c r="RWP34" s="515"/>
      <c r="RWQ34" s="515"/>
      <c r="RWR34" s="515"/>
      <c r="RWS34" s="514"/>
      <c r="RWT34" s="515"/>
      <c r="RWU34" s="515"/>
      <c r="RWV34" s="515"/>
      <c r="RWW34" s="515"/>
      <c r="RWX34" s="515"/>
      <c r="RWY34" s="515"/>
      <c r="RWZ34" s="515"/>
      <c r="RXA34" s="514"/>
      <c r="RXB34" s="515"/>
      <c r="RXC34" s="515"/>
      <c r="RXD34" s="515"/>
      <c r="RXE34" s="515"/>
      <c r="RXF34" s="515"/>
      <c r="RXG34" s="515"/>
      <c r="RXH34" s="515"/>
      <c r="RXI34" s="514"/>
      <c r="RXJ34" s="515"/>
      <c r="RXK34" s="515"/>
      <c r="RXL34" s="515"/>
      <c r="RXM34" s="515"/>
      <c r="RXN34" s="515"/>
      <c r="RXO34" s="515"/>
      <c r="RXP34" s="515"/>
      <c r="RXQ34" s="514"/>
      <c r="RXR34" s="515"/>
      <c r="RXS34" s="515"/>
      <c r="RXT34" s="515"/>
      <c r="RXU34" s="515"/>
      <c r="RXV34" s="515"/>
      <c r="RXW34" s="515"/>
      <c r="RXX34" s="515"/>
      <c r="RXY34" s="514"/>
      <c r="RXZ34" s="515"/>
      <c r="RYA34" s="515"/>
      <c r="RYB34" s="515"/>
      <c r="RYC34" s="515"/>
      <c r="RYD34" s="515"/>
      <c r="RYE34" s="515"/>
      <c r="RYF34" s="515"/>
      <c r="RYG34" s="514"/>
      <c r="RYH34" s="515"/>
      <c r="RYI34" s="515"/>
      <c r="RYJ34" s="515"/>
      <c r="RYK34" s="515"/>
      <c r="RYL34" s="515"/>
      <c r="RYM34" s="515"/>
      <c r="RYN34" s="515"/>
      <c r="RYO34" s="514"/>
      <c r="RYP34" s="515"/>
      <c r="RYQ34" s="515"/>
      <c r="RYR34" s="515"/>
      <c r="RYS34" s="515"/>
      <c r="RYT34" s="515"/>
      <c r="RYU34" s="515"/>
      <c r="RYV34" s="515"/>
      <c r="RYW34" s="514"/>
      <c r="RYX34" s="515"/>
      <c r="RYY34" s="515"/>
      <c r="RYZ34" s="515"/>
      <c r="RZA34" s="515"/>
      <c r="RZB34" s="515"/>
      <c r="RZC34" s="515"/>
      <c r="RZD34" s="515"/>
      <c r="RZE34" s="514"/>
      <c r="RZF34" s="515"/>
      <c r="RZG34" s="515"/>
      <c r="RZH34" s="515"/>
      <c r="RZI34" s="515"/>
      <c r="RZJ34" s="515"/>
      <c r="RZK34" s="515"/>
      <c r="RZL34" s="515"/>
      <c r="RZM34" s="514"/>
      <c r="RZN34" s="515"/>
      <c r="RZO34" s="515"/>
      <c r="RZP34" s="515"/>
      <c r="RZQ34" s="515"/>
      <c r="RZR34" s="515"/>
      <c r="RZS34" s="515"/>
      <c r="RZT34" s="515"/>
      <c r="RZU34" s="514"/>
      <c r="RZV34" s="515"/>
      <c r="RZW34" s="515"/>
      <c r="RZX34" s="515"/>
      <c r="RZY34" s="515"/>
      <c r="RZZ34" s="515"/>
      <c r="SAA34" s="515"/>
      <c r="SAB34" s="515"/>
      <c r="SAC34" s="514"/>
      <c r="SAD34" s="515"/>
      <c r="SAE34" s="515"/>
      <c r="SAF34" s="515"/>
      <c r="SAG34" s="515"/>
      <c r="SAH34" s="515"/>
      <c r="SAI34" s="515"/>
      <c r="SAJ34" s="515"/>
      <c r="SAK34" s="514"/>
      <c r="SAL34" s="515"/>
      <c r="SAM34" s="515"/>
      <c r="SAN34" s="515"/>
      <c r="SAO34" s="515"/>
      <c r="SAP34" s="515"/>
      <c r="SAQ34" s="515"/>
      <c r="SAR34" s="515"/>
      <c r="SAS34" s="514"/>
      <c r="SAT34" s="515"/>
      <c r="SAU34" s="515"/>
      <c r="SAV34" s="515"/>
      <c r="SAW34" s="515"/>
      <c r="SAX34" s="515"/>
      <c r="SAY34" s="515"/>
      <c r="SAZ34" s="515"/>
      <c r="SBA34" s="514"/>
      <c r="SBB34" s="515"/>
      <c r="SBC34" s="515"/>
      <c r="SBD34" s="515"/>
      <c r="SBE34" s="515"/>
      <c r="SBF34" s="515"/>
      <c r="SBG34" s="515"/>
      <c r="SBH34" s="515"/>
      <c r="SBI34" s="514"/>
      <c r="SBJ34" s="515"/>
      <c r="SBK34" s="515"/>
      <c r="SBL34" s="515"/>
      <c r="SBM34" s="515"/>
      <c r="SBN34" s="515"/>
      <c r="SBO34" s="515"/>
      <c r="SBP34" s="515"/>
      <c r="SBQ34" s="514"/>
      <c r="SBR34" s="515"/>
      <c r="SBS34" s="515"/>
      <c r="SBT34" s="515"/>
      <c r="SBU34" s="515"/>
      <c r="SBV34" s="515"/>
      <c r="SBW34" s="515"/>
      <c r="SBX34" s="515"/>
      <c r="SBY34" s="514"/>
      <c r="SBZ34" s="515"/>
      <c r="SCA34" s="515"/>
      <c r="SCB34" s="515"/>
      <c r="SCC34" s="515"/>
      <c r="SCD34" s="515"/>
      <c r="SCE34" s="515"/>
      <c r="SCF34" s="515"/>
      <c r="SCG34" s="514"/>
      <c r="SCH34" s="515"/>
      <c r="SCI34" s="515"/>
      <c r="SCJ34" s="515"/>
      <c r="SCK34" s="515"/>
      <c r="SCL34" s="515"/>
      <c r="SCM34" s="515"/>
      <c r="SCN34" s="515"/>
      <c r="SCO34" s="514"/>
      <c r="SCP34" s="515"/>
      <c r="SCQ34" s="515"/>
      <c r="SCR34" s="515"/>
      <c r="SCS34" s="515"/>
      <c r="SCT34" s="515"/>
      <c r="SCU34" s="515"/>
      <c r="SCV34" s="515"/>
      <c r="SCW34" s="514"/>
      <c r="SCX34" s="515"/>
      <c r="SCY34" s="515"/>
      <c r="SCZ34" s="515"/>
      <c r="SDA34" s="515"/>
      <c r="SDB34" s="515"/>
      <c r="SDC34" s="515"/>
      <c r="SDD34" s="515"/>
      <c r="SDE34" s="514"/>
      <c r="SDF34" s="515"/>
      <c r="SDG34" s="515"/>
      <c r="SDH34" s="515"/>
      <c r="SDI34" s="515"/>
      <c r="SDJ34" s="515"/>
      <c r="SDK34" s="515"/>
      <c r="SDL34" s="515"/>
      <c r="SDM34" s="514"/>
      <c r="SDN34" s="515"/>
      <c r="SDO34" s="515"/>
      <c r="SDP34" s="515"/>
      <c r="SDQ34" s="515"/>
      <c r="SDR34" s="515"/>
      <c r="SDS34" s="515"/>
      <c r="SDT34" s="515"/>
      <c r="SDU34" s="514"/>
      <c r="SDV34" s="515"/>
      <c r="SDW34" s="515"/>
      <c r="SDX34" s="515"/>
      <c r="SDY34" s="515"/>
      <c r="SDZ34" s="515"/>
      <c r="SEA34" s="515"/>
      <c r="SEB34" s="515"/>
      <c r="SEC34" s="514"/>
      <c r="SED34" s="515"/>
      <c r="SEE34" s="515"/>
      <c r="SEF34" s="515"/>
      <c r="SEG34" s="515"/>
      <c r="SEH34" s="515"/>
      <c r="SEI34" s="515"/>
      <c r="SEJ34" s="515"/>
      <c r="SEK34" s="514"/>
      <c r="SEL34" s="515"/>
      <c r="SEM34" s="515"/>
      <c r="SEN34" s="515"/>
      <c r="SEO34" s="515"/>
      <c r="SEP34" s="515"/>
      <c r="SEQ34" s="515"/>
      <c r="SER34" s="515"/>
      <c r="SES34" s="514"/>
      <c r="SET34" s="515"/>
      <c r="SEU34" s="515"/>
      <c r="SEV34" s="515"/>
      <c r="SEW34" s="515"/>
      <c r="SEX34" s="515"/>
      <c r="SEY34" s="515"/>
      <c r="SEZ34" s="515"/>
      <c r="SFA34" s="514"/>
      <c r="SFB34" s="515"/>
      <c r="SFC34" s="515"/>
      <c r="SFD34" s="515"/>
      <c r="SFE34" s="515"/>
      <c r="SFF34" s="515"/>
      <c r="SFG34" s="515"/>
      <c r="SFH34" s="515"/>
      <c r="SFI34" s="514"/>
      <c r="SFJ34" s="515"/>
      <c r="SFK34" s="515"/>
      <c r="SFL34" s="515"/>
      <c r="SFM34" s="515"/>
      <c r="SFN34" s="515"/>
      <c r="SFO34" s="515"/>
      <c r="SFP34" s="515"/>
      <c r="SFQ34" s="514"/>
      <c r="SFR34" s="515"/>
      <c r="SFS34" s="515"/>
      <c r="SFT34" s="515"/>
      <c r="SFU34" s="515"/>
      <c r="SFV34" s="515"/>
      <c r="SFW34" s="515"/>
      <c r="SFX34" s="515"/>
      <c r="SFY34" s="514"/>
      <c r="SFZ34" s="515"/>
      <c r="SGA34" s="515"/>
      <c r="SGB34" s="515"/>
      <c r="SGC34" s="515"/>
      <c r="SGD34" s="515"/>
      <c r="SGE34" s="515"/>
      <c r="SGF34" s="515"/>
      <c r="SGG34" s="514"/>
      <c r="SGH34" s="515"/>
      <c r="SGI34" s="515"/>
      <c r="SGJ34" s="515"/>
      <c r="SGK34" s="515"/>
      <c r="SGL34" s="515"/>
      <c r="SGM34" s="515"/>
      <c r="SGN34" s="515"/>
      <c r="SGO34" s="514"/>
      <c r="SGP34" s="515"/>
      <c r="SGQ34" s="515"/>
      <c r="SGR34" s="515"/>
      <c r="SGS34" s="515"/>
      <c r="SGT34" s="515"/>
      <c r="SGU34" s="515"/>
      <c r="SGV34" s="515"/>
      <c r="SGW34" s="514"/>
      <c r="SGX34" s="515"/>
      <c r="SGY34" s="515"/>
      <c r="SGZ34" s="515"/>
      <c r="SHA34" s="515"/>
      <c r="SHB34" s="515"/>
      <c r="SHC34" s="515"/>
      <c r="SHD34" s="515"/>
      <c r="SHE34" s="514"/>
      <c r="SHF34" s="515"/>
      <c r="SHG34" s="515"/>
      <c r="SHH34" s="515"/>
      <c r="SHI34" s="515"/>
      <c r="SHJ34" s="515"/>
      <c r="SHK34" s="515"/>
      <c r="SHL34" s="515"/>
      <c r="SHM34" s="514"/>
      <c r="SHN34" s="515"/>
      <c r="SHO34" s="515"/>
      <c r="SHP34" s="515"/>
      <c r="SHQ34" s="515"/>
      <c r="SHR34" s="515"/>
      <c r="SHS34" s="515"/>
      <c r="SHT34" s="515"/>
      <c r="SHU34" s="514"/>
      <c r="SHV34" s="515"/>
      <c r="SHW34" s="515"/>
      <c r="SHX34" s="515"/>
      <c r="SHY34" s="515"/>
      <c r="SHZ34" s="515"/>
      <c r="SIA34" s="515"/>
      <c r="SIB34" s="515"/>
      <c r="SIC34" s="514"/>
      <c r="SID34" s="515"/>
      <c r="SIE34" s="515"/>
      <c r="SIF34" s="515"/>
      <c r="SIG34" s="515"/>
      <c r="SIH34" s="515"/>
      <c r="SII34" s="515"/>
      <c r="SIJ34" s="515"/>
      <c r="SIK34" s="514"/>
      <c r="SIL34" s="515"/>
      <c r="SIM34" s="515"/>
      <c r="SIN34" s="515"/>
      <c r="SIO34" s="515"/>
      <c r="SIP34" s="515"/>
      <c r="SIQ34" s="515"/>
      <c r="SIR34" s="515"/>
      <c r="SIS34" s="514"/>
      <c r="SIT34" s="515"/>
      <c r="SIU34" s="515"/>
      <c r="SIV34" s="515"/>
      <c r="SIW34" s="515"/>
      <c r="SIX34" s="515"/>
      <c r="SIY34" s="515"/>
      <c r="SIZ34" s="515"/>
      <c r="SJA34" s="514"/>
      <c r="SJB34" s="515"/>
      <c r="SJC34" s="515"/>
      <c r="SJD34" s="515"/>
      <c r="SJE34" s="515"/>
      <c r="SJF34" s="515"/>
      <c r="SJG34" s="515"/>
      <c r="SJH34" s="515"/>
      <c r="SJI34" s="514"/>
      <c r="SJJ34" s="515"/>
      <c r="SJK34" s="515"/>
      <c r="SJL34" s="515"/>
      <c r="SJM34" s="515"/>
      <c r="SJN34" s="515"/>
      <c r="SJO34" s="515"/>
      <c r="SJP34" s="515"/>
      <c r="SJQ34" s="514"/>
      <c r="SJR34" s="515"/>
      <c r="SJS34" s="515"/>
      <c r="SJT34" s="515"/>
      <c r="SJU34" s="515"/>
      <c r="SJV34" s="515"/>
      <c r="SJW34" s="515"/>
      <c r="SJX34" s="515"/>
      <c r="SJY34" s="514"/>
      <c r="SJZ34" s="515"/>
      <c r="SKA34" s="515"/>
      <c r="SKB34" s="515"/>
      <c r="SKC34" s="515"/>
      <c r="SKD34" s="515"/>
      <c r="SKE34" s="515"/>
      <c r="SKF34" s="515"/>
      <c r="SKG34" s="514"/>
      <c r="SKH34" s="515"/>
      <c r="SKI34" s="515"/>
      <c r="SKJ34" s="515"/>
      <c r="SKK34" s="515"/>
      <c r="SKL34" s="515"/>
      <c r="SKM34" s="515"/>
      <c r="SKN34" s="515"/>
      <c r="SKO34" s="514"/>
      <c r="SKP34" s="515"/>
      <c r="SKQ34" s="515"/>
      <c r="SKR34" s="515"/>
      <c r="SKS34" s="515"/>
      <c r="SKT34" s="515"/>
      <c r="SKU34" s="515"/>
      <c r="SKV34" s="515"/>
      <c r="SKW34" s="514"/>
      <c r="SKX34" s="515"/>
      <c r="SKY34" s="515"/>
      <c r="SKZ34" s="515"/>
      <c r="SLA34" s="515"/>
      <c r="SLB34" s="515"/>
      <c r="SLC34" s="515"/>
      <c r="SLD34" s="515"/>
      <c r="SLE34" s="514"/>
      <c r="SLF34" s="515"/>
      <c r="SLG34" s="515"/>
      <c r="SLH34" s="515"/>
      <c r="SLI34" s="515"/>
      <c r="SLJ34" s="515"/>
      <c r="SLK34" s="515"/>
      <c r="SLL34" s="515"/>
      <c r="SLM34" s="514"/>
      <c r="SLN34" s="515"/>
      <c r="SLO34" s="515"/>
      <c r="SLP34" s="515"/>
      <c r="SLQ34" s="515"/>
      <c r="SLR34" s="515"/>
      <c r="SLS34" s="515"/>
      <c r="SLT34" s="515"/>
      <c r="SLU34" s="514"/>
      <c r="SLV34" s="515"/>
      <c r="SLW34" s="515"/>
      <c r="SLX34" s="515"/>
      <c r="SLY34" s="515"/>
      <c r="SLZ34" s="515"/>
      <c r="SMA34" s="515"/>
      <c r="SMB34" s="515"/>
      <c r="SMC34" s="514"/>
      <c r="SMD34" s="515"/>
      <c r="SME34" s="515"/>
      <c r="SMF34" s="515"/>
      <c r="SMG34" s="515"/>
      <c r="SMH34" s="515"/>
      <c r="SMI34" s="515"/>
      <c r="SMJ34" s="515"/>
      <c r="SMK34" s="514"/>
      <c r="SML34" s="515"/>
      <c r="SMM34" s="515"/>
      <c r="SMN34" s="515"/>
      <c r="SMO34" s="515"/>
      <c r="SMP34" s="515"/>
      <c r="SMQ34" s="515"/>
      <c r="SMR34" s="515"/>
      <c r="SMS34" s="514"/>
      <c r="SMT34" s="515"/>
      <c r="SMU34" s="515"/>
      <c r="SMV34" s="515"/>
      <c r="SMW34" s="515"/>
      <c r="SMX34" s="515"/>
      <c r="SMY34" s="515"/>
      <c r="SMZ34" s="515"/>
      <c r="SNA34" s="514"/>
      <c r="SNB34" s="515"/>
      <c r="SNC34" s="515"/>
      <c r="SND34" s="515"/>
      <c r="SNE34" s="515"/>
      <c r="SNF34" s="515"/>
      <c r="SNG34" s="515"/>
      <c r="SNH34" s="515"/>
      <c r="SNI34" s="514"/>
      <c r="SNJ34" s="515"/>
      <c r="SNK34" s="515"/>
      <c r="SNL34" s="515"/>
      <c r="SNM34" s="515"/>
      <c r="SNN34" s="515"/>
      <c r="SNO34" s="515"/>
      <c r="SNP34" s="515"/>
      <c r="SNQ34" s="514"/>
      <c r="SNR34" s="515"/>
      <c r="SNS34" s="515"/>
      <c r="SNT34" s="515"/>
      <c r="SNU34" s="515"/>
      <c r="SNV34" s="515"/>
      <c r="SNW34" s="515"/>
      <c r="SNX34" s="515"/>
      <c r="SNY34" s="514"/>
      <c r="SNZ34" s="515"/>
      <c r="SOA34" s="515"/>
      <c r="SOB34" s="515"/>
      <c r="SOC34" s="515"/>
      <c r="SOD34" s="515"/>
      <c r="SOE34" s="515"/>
      <c r="SOF34" s="515"/>
      <c r="SOG34" s="514"/>
      <c r="SOH34" s="515"/>
      <c r="SOI34" s="515"/>
      <c r="SOJ34" s="515"/>
      <c r="SOK34" s="515"/>
      <c r="SOL34" s="515"/>
      <c r="SOM34" s="515"/>
      <c r="SON34" s="515"/>
      <c r="SOO34" s="514"/>
      <c r="SOP34" s="515"/>
      <c r="SOQ34" s="515"/>
      <c r="SOR34" s="515"/>
      <c r="SOS34" s="515"/>
      <c r="SOT34" s="515"/>
      <c r="SOU34" s="515"/>
      <c r="SOV34" s="515"/>
      <c r="SOW34" s="514"/>
      <c r="SOX34" s="515"/>
      <c r="SOY34" s="515"/>
      <c r="SOZ34" s="515"/>
      <c r="SPA34" s="515"/>
      <c r="SPB34" s="515"/>
      <c r="SPC34" s="515"/>
      <c r="SPD34" s="515"/>
      <c r="SPE34" s="514"/>
      <c r="SPF34" s="515"/>
      <c r="SPG34" s="515"/>
      <c r="SPH34" s="515"/>
      <c r="SPI34" s="515"/>
      <c r="SPJ34" s="515"/>
      <c r="SPK34" s="515"/>
      <c r="SPL34" s="515"/>
      <c r="SPM34" s="514"/>
      <c r="SPN34" s="515"/>
      <c r="SPO34" s="515"/>
      <c r="SPP34" s="515"/>
      <c r="SPQ34" s="515"/>
      <c r="SPR34" s="515"/>
      <c r="SPS34" s="515"/>
      <c r="SPT34" s="515"/>
      <c r="SPU34" s="514"/>
      <c r="SPV34" s="515"/>
      <c r="SPW34" s="515"/>
      <c r="SPX34" s="515"/>
      <c r="SPY34" s="515"/>
      <c r="SPZ34" s="515"/>
      <c r="SQA34" s="515"/>
      <c r="SQB34" s="515"/>
      <c r="SQC34" s="514"/>
      <c r="SQD34" s="515"/>
      <c r="SQE34" s="515"/>
      <c r="SQF34" s="515"/>
      <c r="SQG34" s="515"/>
      <c r="SQH34" s="515"/>
      <c r="SQI34" s="515"/>
      <c r="SQJ34" s="515"/>
      <c r="SQK34" s="514"/>
      <c r="SQL34" s="515"/>
      <c r="SQM34" s="515"/>
      <c r="SQN34" s="515"/>
      <c r="SQO34" s="515"/>
      <c r="SQP34" s="515"/>
      <c r="SQQ34" s="515"/>
      <c r="SQR34" s="515"/>
      <c r="SQS34" s="514"/>
      <c r="SQT34" s="515"/>
      <c r="SQU34" s="515"/>
      <c r="SQV34" s="515"/>
      <c r="SQW34" s="515"/>
      <c r="SQX34" s="515"/>
      <c r="SQY34" s="515"/>
      <c r="SQZ34" s="515"/>
      <c r="SRA34" s="514"/>
      <c r="SRB34" s="515"/>
      <c r="SRC34" s="515"/>
      <c r="SRD34" s="515"/>
      <c r="SRE34" s="515"/>
      <c r="SRF34" s="515"/>
      <c r="SRG34" s="515"/>
      <c r="SRH34" s="515"/>
      <c r="SRI34" s="514"/>
      <c r="SRJ34" s="515"/>
      <c r="SRK34" s="515"/>
      <c r="SRL34" s="515"/>
      <c r="SRM34" s="515"/>
      <c r="SRN34" s="515"/>
      <c r="SRO34" s="515"/>
      <c r="SRP34" s="515"/>
      <c r="SRQ34" s="514"/>
      <c r="SRR34" s="515"/>
      <c r="SRS34" s="515"/>
      <c r="SRT34" s="515"/>
      <c r="SRU34" s="515"/>
      <c r="SRV34" s="515"/>
      <c r="SRW34" s="515"/>
      <c r="SRX34" s="515"/>
      <c r="SRY34" s="514"/>
      <c r="SRZ34" s="515"/>
      <c r="SSA34" s="515"/>
      <c r="SSB34" s="515"/>
      <c r="SSC34" s="515"/>
      <c r="SSD34" s="515"/>
      <c r="SSE34" s="515"/>
      <c r="SSF34" s="515"/>
      <c r="SSG34" s="514"/>
      <c r="SSH34" s="515"/>
      <c r="SSI34" s="515"/>
      <c r="SSJ34" s="515"/>
      <c r="SSK34" s="515"/>
      <c r="SSL34" s="515"/>
      <c r="SSM34" s="515"/>
      <c r="SSN34" s="515"/>
      <c r="SSO34" s="514"/>
      <c r="SSP34" s="515"/>
      <c r="SSQ34" s="515"/>
      <c r="SSR34" s="515"/>
      <c r="SSS34" s="515"/>
      <c r="SST34" s="515"/>
      <c r="SSU34" s="515"/>
      <c r="SSV34" s="515"/>
      <c r="SSW34" s="514"/>
      <c r="SSX34" s="515"/>
      <c r="SSY34" s="515"/>
      <c r="SSZ34" s="515"/>
      <c r="STA34" s="515"/>
      <c r="STB34" s="515"/>
      <c r="STC34" s="515"/>
      <c r="STD34" s="515"/>
      <c r="STE34" s="514"/>
      <c r="STF34" s="515"/>
      <c r="STG34" s="515"/>
      <c r="STH34" s="515"/>
      <c r="STI34" s="515"/>
      <c r="STJ34" s="515"/>
      <c r="STK34" s="515"/>
      <c r="STL34" s="515"/>
      <c r="STM34" s="514"/>
      <c r="STN34" s="515"/>
      <c r="STO34" s="515"/>
      <c r="STP34" s="515"/>
      <c r="STQ34" s="515"/>
      <c r="STR34" s="515"/>
      <c r="STS34" s="515"/>
      <c r="STT34" s="515"/>
      <c r="STU34" s="514"/>
      <c r="STV34" s="515"/>
      <c r="STW34" s="515"/>
      <c r="STX34" s="515"/>
      <c r="STY34" s="515"/>
      <c r="STZ34" s="515"/>
      <c r="SUA34" s="515"/>
      <c r="SUB34" s="515"/>
      <c r="SUC34" s="514"/>
      <c r="SUD34" s="515"/>
      <c r="SUE34" s="515"/>
      <c r="SUF34" s="515"/>
      <c r="SUG34" s="515"/>
      <c r="SUH34" s="515"/>
      <c r="SUI34" s="515"/>
      <c r="SUJ34" s="515"/>
      <c r="SUK34" s="514"/>
      <c r="SUL34" s="515"/>
      <c r="SUM34" s="515"/>
      <c r="SUN34" s="515"/>
      <c r="SUO34" s="515"/>
      <c r="SUP34" s="515"/>
      <c r="SUQ34" s="515"/>
      <c r="SUR34" s="515"/>
      <c r="SUS34" s="514"/>
      <c r="SUT34" s="515"/>
      <c r="SUU34" s="515"/>
      <c r="SUV34" s="515"/>
      <c r="SUW34" s="515"/>
      <c r="SUX34" s="515"/>
      <c r="SUY34" s="515"/>
      <c r="SUZ34" s="515"/>
      <c r="SVA34" s="514"/>
      <c r="SVB34" s="515"/>
      <c r="SVC34" s="515"/>
      <c r="SVD34" s="515"/>
      <c r="SVE34" s="515"/>
      <c r="SVF34" s="515"/>
      <c r="SVG34" s="515"/>
      <c r="SVH34" s="515"/>
      <c r="SVI34" s="514"/>
      <c r="SVJ34" s="515"/>
      <c r="SVK34" s="515"/>
      <c r="SVL34" s="515"/>
      <c r="SVM34" s="515"/>
      <c r="SVN34" s="515"/>
      <c r="SVO34" s="515"/>
      <c r="SVP34" s="515"/>
      <c r="SVQ34" s="514"/>
      <c r="SVR34" s="515"/>
      <c r="SVS34" s="515"/>
      <c r="SVT34" s="515"/>
      <c r="SVU34" s="515"/>
      <c r="SVV34" s="515"/>
      <c r="SVW34" s="515"/>
      <c r="SVX34" s="515"/>
      <c r="SVY34" s="514"/>
      <c r="SVZ34" s="515"/>
      <c r="SWA34" s="515"/>
      <c r="SWB34" s="515"/>
      <c r="SWC34" s="515"/>
      <c r="SWD34" s="515"/>
      <c r="SWE34" s="515"/>
      <c r="SWF34" s="515"/>
      <c r="SWG34" s="514"/>
      <c r="SWH34" s="515"/>
      <c r="SWI34" s="515"/>
      <c r="SWJ34" s="515"/>
      <c r="SWK34" s="515"/>
      <c r="SWL34" s="515"/>
      <c r="SWM34" s="515"/>
      <c r="SWN34" s="515"/>
      <c r="SWO34" s="514"/>
      <c r="SWP34" s="515"/>
      <c r="SWQ34" s="515"/>
      <c r="SWR34" s="515"/>
      <c r="SWS34" s="515"/>
      <c r="SWT34" s="515"/>
      <c r="SWU34" s="515"/>
      <c r="SWV34" s="515"/>
      <c r="SWW34" s="514"/>
      <c r="SWX34" s="515"/>
      <c r="SWY34" s="515"/>
      <c r="SWZ34" s="515"/>
      <c r="SXA34" s="515"/>
      <c r="SXB34" s="515"/>
      <c r="SXC34" s="515"/>
      <c r="SXD34" s="515"/>
      <c r="SXE34" s="514"/>
      <c r="SXF34" s="515"/>
      <c r="SXG34" s="515"/>
      <c r="SXH34" s="515"/>
      <c r="SXI34" s="515"/>
      <c r="SXJ34" s="515"/>
      <c r="SXK34" s="515"/>
      <c r="SXL34" s="515"/>
      <c r="SXM34" s="514"/>
      <c r="SXN34" s="515"/>
      <c r="SXO34" s="515"/>
      <c r="SXP34" s="515"/>
      <c r="SXQ34" s="515"/>
      <c r="SXR34" s="515"/>
      <c r="SXS34" s="515"/>
      <c r="SXT34" s="515"/>
      <c r="SXU34" s="514"/>
      <c r="SXV34" s="515"/>
      <c r="SXW34" s="515"/>
      <c r="SXX34" s="515"/>
      <c r="SXY34" s="515"/>
      <c r="SXZ34" s="515"/>
      <c r="SYA34" s="515"/>
      <c r="SYB34" s="515"/>
      <c r="SYC34" s="514"/>
      <c r="SYD34" s="515"/>
      <c r="SYE34" s="515"/>
      <c r="SYF34" s="515"/>
      <c r="SYG34" s="515"/>
      <c r="SYH34" s="515"/>
      <c r="SYI34" s="515"/>
      <c r="SYJ34" s="515"/>
      <c r="SYK34" s="514"/>
      <c r="SYL34" s="515"/>
      <c r="SYM34" s="515"/>
      <c r="SYN34" s="515"/>
      <c r="SYO34" s="515"/>
      <c r="SYP34" s="515"/>
      <c r="SYQ34" s="515"/>
      <c r="SYR34" s="515"/>
      <c r="SYS34" s="514"/>
      <c r="SYT34" s="515"/>
      <c r="SYU34" s="515"/>
      <c r="SYV34" s="515"/>
      <c r="SYW34" s="515"/>
      <c r="SYX34" s="515"/>
      <c r="SYY34" s="515"/>
      <c r="SYZ34" s="515"/>
      <c r="SZA34" s="514"/>
      <c r="SZB34" s="515"/>
      <c r="SZC34" s="515"/>
      <c r="SZD34" s="515"/>
      <c r="SZE34" s="515"/>
      <c r="SZF34" s="515"/>
      <c r="SZG34" s="515"/>
      <c r="SZH34" s="515"/>
      <c r="SZI34" s="514"/>
      <c r="SZJ34" s="515"/>
      <c r="SZK34" s="515"/>
      <c r="SZL34" s="515"/>
      <c r="SZM34" s="515"/>
      <c r="SZN34" s="515"/>
      <c r="SZO34" s="515"/>
      <c r="SZP34" s="515"/>
      <c r="SZQ34" s="514"/>
      <c r="SZR34" s="515"/>
      <c r="SZS34" s="515"/>
      <c r="SZT34" s="515"/>
      <c r="SZU34" s="515"/>
      <c r="SZV34" s="515"/>
      <c r="SZW34" s="515"/>
      <c r="SZX34" s="515"/>
      <c r="SZY34" s="514"/>
      <c r="SZZ34" s="515"/>
      <c r="TAA34" s="515"/>
      <c r="TAB34" s="515"/>
      <c r="TAC34" s="515"/>
      <c r="TAD34" s="515"/>
      <c r="TAE34" s="515"/>
      <c r="TAF34" s="515"/>
      <c r="TAG34" s="514"/>
      <c r="TAH34" s="515"/>
      <c r="TAI34" s="515"/>
      <c r="TAJ34" s="515"/>
      <c r="TAK34" s="515"/>
      <c r="TAL34" s="515"/>
      <c r="TAM34" s="515"/>
      <c r="TAN34" s="515"/>
      <c r="TAO34" s="514"/>
      <c r="TAP34" s="515"/>
      <c r="TAQ34" s="515"/>
      <c r="TAR34" s="515"/>
      <c r="TAS34" s="515"/>
      <c r="TAT34" s="515"/>
      <c r="TAU34" s="515"/>
      <c r="TAV34" s="515"/>
      <c r="TAW34" s="514"/>
      <c r="TAX34" s="515"/>
      <c r="TAY34" s="515"/>
      <c r="TAZ34" s="515"/>
      <c r="TBA34" s="515"/>
      <c r="TBB34" s="515"/>
      <c r="TBC34" s="515"/>
      <c r="TBD34" s="515"/>
      <c r="TBE34" s="514"/>
      <c r="TBF34" s="515"/>
      <c r="TBG34" s="515"/>
      <c r="TBH34" s="515"/>
      <c r="TBI34" s="515"/>
      <c r="TBJ34" s="515"/>
      <c r="TBK34" s="515"/>
      <c r="TBL34" s="515"/>
      <c r="TBM34" s="514"/>
      <c r="TBN34" s="515"/>
      <c r="TBO34" s="515"/>
      <c r="TBP34" s="515"/>
      <c r="TBQ34" s="515"/>
      <c r="TBR34" s="515"/>
      <c r="TBS34" s="515"/>
      <c r="TBT34" s="515"/>
      <c r="TBU34" s="514"/>
      <c r="TBV34" s="515"/>
      <c r="TBW34" s="515"/>
      <c r="TBX34" s="515"/>
      <c r="TBY34" s="515"/>
      <c r="TBZ34" s="515"/>
      <c r="TCA34" s="515"/>
      <c r="TCB34" s="515"/>
      <c r="TCC34" s="514"/>
      <c r="TCD34" s="515"/>
      <c r="TCE34" s="515"/>
      <c r="TCF34" s="515"/>
      <c r="TCG34" s="515"/>
      <c r="TCH34" s="515"/>
      <c r="TCI34" s="515"/>
      <c r="TCJ34" s="515"/>
      <c r="TCK34" s="514"/>
      <c r="TCL34" s="515"/>
      <c r="TCM34" s="515"/>
      <c r="TCN34" s="515"/>
      <c r="TCO34" s="515"/>
      <c r="TCP34" s="515"/>
      <c r="TCQ34" s="515"/>
      <c r="TCR34" s="515"/>
      <c r="TCS34" s="514"/>
      <c r="TCT34" s="515"/>
      <c r="TCU34" s="515"/>
      <c r="TCV34" s="515"/>
      <c r="TCW34" s="515"/>
      <c r="TCX34" s="515"/>
      <c r="TCY34" s="515"/>
      <c r="TCZ34" s="515"/>
      <c r="TDA34" s="514"/>
      <c r="TDB34" s="515"/>
      <c r="TDC34" s="515"/>
      <c r="TDD34" s="515"/>
      <c r="TDE34" s="515"/>
      <c r="TDF34" s="515"/>
      <c r="TDG34" s="515"/>
      <c r="TDH34" s="515"/>
      <c r="TDI34" s="514"/>
      <c r="TDJ34" s="515"/>
      <c r="TDK34" s="515"/>
      <c r="TDL34" s="515"/>
      <c r="TDM34" s="515"/>
      <c r="TDN34" s="515"/>
      <c r="TDO34" s="515"/>
      <c r="TDP34" s="515"/>
      <c r="TDQ34" s="514"/>
      <c r="TDR34" s="515"/>
      <c r="TDS34" s="515"/>
      <c r="TDT34" s="515"/>
      <c r="TDU34" s="515"/>
      <c r="TDV34" s="515"/>
      <c r="TDW34" s="515"/>
      <c r="TDX34" s="515"/>
      <c r="TDY34" s="514"/>
      <c r="TDZ34" s="515"/>
      <c r="TEA34" s="515"/>
      <c r="TEB34" s="515"/>
      <c r="TEC34" s="515"/>
      <c r="TED34" s="515"/>
      <c r="TEE34" s="515"/>
      <c r="TEF34" s="515"/>
      <c r="TEG34" s="514"/>
      <c r="TEH34" s="515"/>
      <c r="TEI34" s="515"/>
      <c r="TEJ34" s="515"/>
      <c r="TEK34" s="515"/>
      <c r="TEL34" s="515"/>
      <c r="TEM34" s="515"/>
      <c r="TEN34" s="515"/>
      <c r="TEO34" s="514"/>
      <c r="TEP34" s="515"/>
      <c r="TEQ34" s="515"/>
      <c r="TER34" s="515"/>
      <c r="TES34" s="515"/>
      <c r="TET34" s="515"/>
      <c r="TEU34" s="515"/>
      <c r="TEV34" s="515"/>
      <c r="TEW34" s="514"/>
      <c r="TEX34" s="515"/>
      <c r="TEY34" s="515"/>
      <c r="TEZ34" s="515"/>
      <c r="TFA34" s="515"/>
      <c r="TFB34" s="515"/>
      <c r="TFC34" s="515"/>
      <c r="TFD34" s="515"/>
      <c r="TFE34" s="514"/>
      <c r="TFF34" s="515"/>
      <c r="TFG34" s="515"/>
      <c r="TFH34" s="515"/>
      <c r="TFI34" s="515"/>
      <c r="TFJ34" s="515"/>
      <c r="TFK34" s="515"/>
      <c r="TFL34" s="515"/>
      <c r="TFM34" s="514"/>
      <c r="TFN34" s="515"/>
      <c r="TFO34" s="515"/>
      <c r="TFP34" s="515"/>
      <c r="TFQ34" s="515"/>
      <c r="TFR34" s="515"/>
      <c r="TFS34" s="515"/>
      <c r="TFT34" s="515"/>
      <c r="TFU34" s="514"/>
      <c r="TFV34" s="515"/>
      <c r="TFW34" s="515"/>
      <c r="TFX34" s="515"/>
      <c r="TFY34" s="515"/>
      <c r="TFZ34" s="515"/>
      <c r="TGA34" s="515"/>
      <c r="TGB34" s="515"/>
      <c r="TGC34" s="514"/>
      <c r="TGD34" s="515"/>
      <c r="TGE34" s="515"/>
      <c r="TGF34" s="515"/>
      <c r="TGG34" s="515"/>
      <c r="TGH34" s="515"/>
      <c r="TGI34" s="515"/>
      <c r="TGJ34" s="515"/>
      <c r="TGK34" s="514"/>
      <c r="TGL34" s="515"/>
      <c r="TGM34" s="515"/>
      <c r="TGN34" s="515"/>
      <c r="TGO34" s="515"/>
      <c r="TGP34" s="515"/>
      <c r="TGQ34" s="515"/>
      <c r="TGR34" s="515"/>
      <c r="TGS34" s="514"/>
      <c r="TGT34" s="515"/>
      <c r="TGU34" s="515"/>
      <c r="TGV34" s="515"/>
      <c r="TGW34" s="515"/>
      <c r="TGX34" s="515"/>
      <c r="TGY34" s="515"/>
      <c r="TGZ34" s="515"/>
      <c r="THA34" s="514"/>
      <c r="THB34" s="515"/>
      <c r="THC34" s="515"/>
      <c r="THD34" s="515"/>
      <c r="THE34" s="515"/>
      <c r="THF34" s="515"/>
      <c r="THG34" s="515"/>
      <c r="THH34" s="515"/>
      <c r="THI34" s="514"/>
      <c r="THJ34" s="515"/>
      <c r="THK34" s="515"/>
      <c r="THL34" s="515"/>
      <c r="THM34" s="515"/>
      <c r="THN34" s="515"/>
      <c r="THO34" s="515"/>
      <c r="THP34" s="515"/>
      <c r="THQ34" s="514"/>
      <c r="THR34" s="515"/>
      <c r="THS34" s="515"/>
      <c r="THT34" s="515"/>
      <c r="THU34" s="515"/>
      <c r="THV34" s="515"/>
      <c r="THW34" s="515"/>
      <c r="THX34" s="515"/>
      <c r="THY34" s="514"/>
      <c r="THZ34" s="515"/>
      <c r="TIA34" s="515"/>
      <c r="TIB34" s="515"/>
      <c r="TIC34" s="515"/>
      <c r="TID34" s="515"/>
      <c r="TIE34" s="515"/>
      <c r="TIF34" s="515"/>
      <c r="TIG34" s="514"/>
      <c r="TIH34" s="515"/>
      <c r="TII34" s="515"/>
      <c r="TIJ34" s="515"/>
      <c r="TIK34" s="515"/>
      <c r="TIL34" s="515"/>
      <c r="TIM34" s="515"/>
      <c r="TIN34" s="515"/>
      <c r="TIO34" s="514"/>
      <c r="TIP34" s="515"/>
      <c r="TIQ34" s="515"/>
      <c r="TIR34" s="515"/>
      <c r="TIS34" s="515"/>
      <c r="TIT34" s="515"/>
      <c r="TIU34" s="515"/>
      <c r="TIV34" s="515"/>
      <c r="TIW34" s="514"/>
      <c r="TIX34" s="515"/>
      <c r="TIY34" s="515"/>
      <c r="TIZ34" s="515"/>
      <c r="TJA34" s="515"/>
      <c r="TJB34" s="515"/>
      <c r="TJC34" s="515"/>
      <c r="TJD34" s="515"/>
      <c r="TJE34" s="514"/>
      <c r="TJF34" s="515"/>
      <c r="TJG34" s="515"/>
      <c r="TJH34" s="515"/>
      <c r="TJI34" s="515"/>
      <c r="TJJ34" s="515"/>
      <c r="TJK34" s="515"/>
      <c r="TJL34" s="515"/>
      <c r="TJM34" s="514"/>
      <c r="TJN34" s="515"/>
      <c r="TJO34" s="515"/>
      <c r="TJP34" s="515"/>
      <c r="TJQ34" s="515"/>
      <c r="TJR34" s="515"/>
      <c r="TJS34" s="515"/>
      <c r="TJT34" s="515"/>
      <c r="TJU34" s="514"/>
      <c r="TJV34" s="515"/>
      <c r="TJW34" s="515"/>
      <c r="TJX34" s="515"/>
      <c r="TJY34" s="515"/>
      <c r="TJZ34" s="515"/>
      <c r="TKA34" s="515"/>
      <c r="TKB34" s="515"/>
      <c r="TKC34" s="514"/>
      <c r="TKD34" s="515"/>
      <c r="TKE34" s="515"/>
      <c r="TKF34" s="515"/>
      <c r="TKG34" s="515"/>
      <c r="TKH34" s="515"/>
      <c r="TKI34" s="515"/>
      <c r="TKJ34" s="515"/>
      <c r="TKK34" s="514"/>
      <c r="TKL34" s="515"/>
      <c r="TKM34" s="515"/>
      <c r="TKN34" s="515"/>
      <c r="TKO34" s="515"/>
      <c r="TKP34" s="515"/>
      <c r="TKQ34" s="515"/>
      <c r="TKR34" s="515"/>
      <c r="TKS34" s="514"/>
      <c r="TKT34" s="515"/>
      <c r="TKU34" s="515"/>
      <c r="TKV34" s="515"/>
      <c r="TKW34" s="515"/>
      <c r="TKX34" s="515"/>
      <c r="TKY34" s="515"/>
      <c r="TKZ34" s="515"/>
      <c r="TLA34" s="514"/>
      <c r="TLB34" s="515"/>
      <c r="TLC34" s="515"/>
      <c r="TLD34" s="515"/>
      <c r="TLE34" s="515"/>
      <c r="TLF34" s="515"/>
      <c r="TLG34" s="515"/>
      <c r="TLH34" s="515"/>
      <c r="TLI34" s="514"/>
      <c r="TLJ34" s="515"/>
      <c r="TLK34" s="515"/>
      <c r="TLL34" s="515"/>
      <c r="TLM34" s="515"/>
      <c r="TLN34" s="515"/>
      <c r="TLO34" s="515"/>
      <c r="TLP34" s="515"/>
      <c r="TLQ34" s="514"/>
      <c r="TLR34" s="515"/>
      <c r="TLS34" s="515"/>
      <c r="TLT34" s="515"/>
      <c r="TLU34" s="515"/>
      <c r="TLV34" s="515"/>
      <c r="TLW34" s="515"/>
      <c r="TLX34" s="515"/>
      <c r="TLY34" s="514"/>
      <c r="TLZ34" s="515"/>
      <c r="TMA34" s="515"/>
      <c r="TMB34" s="515"/>
      <c r="TMC34" s="515"/>
      <c r="TMD34" s="515"/>
      <c r="TME34" s="515"/>
      <c r="TMF34" s="515"/>
      <c r="TMG34" s="514"/>
      <c r="TMH34" s="515"/>
      <c r="TMI34" s="515"/>
      <c r="TMJ34" s="515"/>
      <c r="TMK34" s="515"/>
      <c r="TML34" s="515"/>
      <c r="TMM34" s="515"/>
      <c r="TMN34" s="515"/>
      <c r="TMO34" s="514"/>
      <c r="TMP34" s="515"/>
      <c r="TMQ34" s="515"/>
      <c r="TMR34" s="515"/>
      <c r="TMS34" s="515"/>
      <c r="TMT34" s="515"/>
      <c r="TMU34" s="515"/>
      <c r="TMV34" s="515"/>
      <c r="TMW34" s="514"/>
      <c r="TMX34" s="515"/>
      <c r="TMY34" s="515"/>
      <c r="TMZ34" s="515"/>
      <c r="TNA34" s="515"/>
      <c r="TNB34" s="515"/>
      <c r="TNC34" s="515"/>
      <c r="TND34" s="515"/>
      <c r="TNE34" s="514"/>
      <c r="TNF34" s="515"/>
      <c r="TNG34" s="515"/>
      <c r="TNH34" s="515"/>
      <c r="TNI34" s="515"/>
      <c r="TNJ34" s="515"/>
      <c r="TNK34" s="515"/>
      <c r="TNL34" s="515"/>
      <c r="TNM34" s="514"/>
      <c r="TNN34" s="515"/>
      <c r="TNO34" s="515"/>
      <c r="TNP34" s="515"/>
      <c r="TNQ34" s="515"/>
      <c r="TNR34" s="515"/>
      <c r="TNS34" s="515"/>
      <c r="TNT34" s="515"/>
      <c r="TNU34" s="514"/>
      <c r="TNV34" s="515"/>
      <c r="TNW34" s="515"/>
      <c r="TNX34" s="515"/>
      <c r="TNY34" s="515"/>
      <c r="TNZ34" s="515"/>
      <c r="TOA34" s="515"/>
      <c r="TOB34" s="515"/>
      <c r="TOC34" s="514"/>
      <c r="TOD34" s="515"/>
      <c r="TOE34" s="515"/>
      <c r="TOF34" s="515"/>
      <c r="TOG34" s="515"/>
      <c r="TOH34" s="515"/>
      <c r="TOI34" s="515"/>
      <c r="TOJ34" s="515"/>
      <c r="TOK34" s="514"/>
      <c r="TOL34" s="515"/>
      <c r="TOM34" s="515"/>
      <c r="TON34" s="515"/>
      <c r="TOO34" s="515"/>
      <c r="TOP34" s="515"/>
      <c r="TOQ34" s="515"/>
      <c r="TOR34" s="515"/>
      <c r="TOS34" s="514"/>
      <c r="TOT34" s="515"/>
      <c r="TOU34" s="515"/>
      <c r="TOV34" s="515"/>
      <c r="TOW34" s="515"/>
      <c r="TOX34" s="515"/>
      <c r="TOY34" s="515"/>
      <c r="TOZ34" s="515"/>
      <c r="TPA34" s="514"/>
      <c r="TPB34" s="515"/>
      <c r="TPC34" s="515"/>
      <c r="TPD34" s="515"/>
      <c r="TPE34" s="515"/>
      <c r="TPF34" s="515"/>
      <c r="TPG34" s="515"/>
      <c r="TPH34" s="515"/>
      <c r="TPI34" s="514"/>
      <c r="TPJ34" s="515"/>
      <c r="TPK34" s="515"/>
      <c r="TPL34" s="515"/>
      <c r="TPM34" s="515"/>
      <c r="TPN34" s="515"/>
      <c r="TPO34" s="515"/>
      <c r="TPP34" s="515"/>
      <c r="TPQ34" s="514"/>
      <c r="TPR34" s="515"/>
      <c r="TPS34" s="515"/>
      <c r="TPT34" s="515"/>
      <c r="TPU34" s="515"/>
      <c r="TPV34" s="515"/>
      <c r="TPW34" s="515"/>
      <c r="TPX34" s="515"/>
      <c r="TPY34" s="514"/>
      <c r="TPZ34" s="515"/>
      <c r="TQA34" s="515"/>
      <c r="TQB34" s="515"/>
      <c r="TQC34" s="515"/>
      <c r="TQD34" s="515"/>
      <c r="TQE34" s="515"/>
      <c r="TQF34" s="515"/>
      <c r="TQG34" s="514"/>
      <c r="TQH34" s="515"/>
      <c r="TQI34" s="515"/>
      <c r="TQJ34" s="515"/>
      <c r="TQK34" s="515"/>
      <c r="TQL34" s="515"/>
      <c r="TQM34" s="515"/>
      <c r="TQN34" s="515"/>
      <c r="TQO34" s="514"/>
      <c r="TQP34" s="515"/>
      <c r="TQQ34" s="515"/>
      <c r="TQR34" s="515"/>
      <c r="TQS34" s="515"/>
      <c r="TQT34" s="515"/>
      <c r="TQU34" s="515"/>
      <c r="TQV34" s="515"/>
      <c r="TQW34" s="514"/>
      <c r="TQX34" s="515"/>
      <c r="TQY34" s="515"/>
      <c r="TQZ34" s="515"/>
      <c r="TRA34" s="515"/>
      <c r="TRB34" s="515"/>
      <c r="TRC34" s="515"/>
      <c r="TRD34" s="515"/>
      <c r="TRE34" s="514"/>
      <c r="TRF34" s="515"/>
      <c r="TRG34" s="515"/>
      <c r="TRH34" s="515"/>
      <c r="TRI34" s="515"/>
      <c r="TRJ34" s="515"/>
      <c r="TRK34" s="515"/>
      <c r="TRL34" s="515"/>
      <c r="TRM34" s="514"/>
      <c r="TRN34" s="515"/>
      <c r="TRO34" s="515"/>
      <c r="TRP34" s="515"/>
      <c r="TRQ34" s="515"/>
      <c r="TRR34" s="515"/>
      <c r="TRS34" s="515"/>
      <c r="TRT34" s="515"/>
      <c r="TRU34" s="514"/>
      <c r="TRV34" s="515"/>
      <c r="TRW34" s="515"/>
      <c r="TRX34" s="515"/>
      <c r="TRY34" s="515"/>
      <c r="TRZ34" s="515"/>
      <c r="TSA34" s="515"/>
      <c r="TSB34" s="515"/>
      <c r="TSC34" s="514"/>
      <c r="TSD34" s="515"/>
      <c r="TSE34" s="515"/>
      <c r="TSF34" s="515"/>
      <c r="TSG34" s="515"/>
      <c r="TSH34" s="515"/>
      <c r="TSI34" s="515"/>
      <c r="TSJ34" s="515"/>
      <c r="TSK34" s="514"/>
      <c r="TSL34" s="515"/>
      <c r="TSM34" s="515"/>
      <c r="TSN34" s="515"/>
      <c r="TSO34" s="515"/>
      <c r="TSP34" s="515"/>
      <c r="TSQ34" s="515"/>
      <c r="TSR34" s="515"/>
      <c r="TSS34" s="514"/>
      <c r="TST34" s="515"/>
      <c r="TSU34" s="515"/>
      <c r="TSV34" s="515"/>
      <c r="TSW34" s="515"/>
      <c r="TSX34" s="515"/>
      <c r="TSY34" s="515"/>
      <c r="TSZ34" s="515"/>
      <c r="TTA34" s="514"/>
      <c r="TTB34" s="515"/>
      <c r="TTC34" s="515"/>
      <c r="TTD34" s="515"/>
      <c r="TTE34" s="515"/>
      <c r="TTF34" s="515"/>
      <c r="TTG34" s="515"/>
      <c r="TTH34" s="515"/>
      <c r="TTI34" s="514"/>
      <c r="TTJ34" s="515"/>
      <c r="TTK34" s="515"/>
      <c r="TTL34" s="515"/>
      <c r="TTM34" s="515"/>
      <c r="TTN34" s="515"/>
      <c r="TTO34" s="515"/>
      <c r="TTP34" s="515"/>
      <c r="TTQ34" s="514"/>
      <c r="TTR34" s="515"/>
      <c r="TTS34" s="515"/>
      <c r="TTT34" s="515"/>
      <c r="TTU34" s="515"/>
      <c r="TTV34" s="515"/>
      <c r="TTW34" s="515"/>
      <c r="TTX34" s="515"/>
      <c r="TTY34" s="514"/>
      <c r="TTZ34" s="515"/>
      <c r="TUA34" s="515"/>
      <c r="TUB34" s="515"/>
      <c r="TUC34" s="515"/>
      <c r="TUD34" s="515"/>
      <c r="TUE34" s="515"/>
      <c r="TUF34" s="515"/>
      <c r="TUG34" s="514"/>
      <c r="TUH34" s="515"/>
      <c r="TUI34" s="515"/>
      <c r="TUJ34" s="515"/>
      <c r="TUK34" s="515"/>
      <c r="TUL34" s="515"/>
      <c r="TUM34" s="515"/>
      <c r="TUN34" s="515"/>
      <c r="TUO34" s="514"/>
      <c r="TUP34" s="515"/>
      <c r="TUQ34" s="515"/>
      <c r="TUR34" s="515"/>
      <c r="TUS34" s="515"/>
      <c r="TUT34" s="515"/>
      <c r="TUU34" s="515"/>
      <c r="TUV34" s="515"/>
      <c r="TUW34" s="514"/>
      <c r="TUX34" s="515"/>
      <c r="TUY34" s="515"/>
      <c r="TUZ34" s="515"/>
      <c r="TVA34" s="515"/>
      <c r="TVB34" s="515"/>
      <c r="TVC34" s="515"/>
      <c r="TVD34" s="515"/>
      <c r="TVE34" s="514"/>
      <c r="TVF34" s="515"/>
      <c r="TVG34" s="515"/>
      <c r="TVH34" s="515"/>
      <c r="TVI34" s="515"/>
      <c r="TVJ34" s="515"/>
      <c r="TVK34" s="515"/>
      <c r="TVL34" s="515"/>
      <c r="TVM34" s="514"/>
      <c r="TVN34" s="515"/>
      <c r="TVO34" s="515"/>
      <c r="TVP34" s="515"/>
      <c r="TVQ34" s="515"/>
      <c r="TVR34" s="515"/>
      <c r="TVS34" s="515"/>
      <c r="TVT34" s="515"/>
      <c r="TVU34" s="514"/>
      <c r="TVV34" s="515"/>
      <c r="TVW34" s="515"/>
      <c r="TVX34" s="515"/>
      <c r="TVY34" s="515"/>
      <c r="TVZ34" s="515"/>
      <c r="TWA34" s="515"/>
      <c r="TWB34" s="515"/>
      <c r="TWC34" s="514"/>
      <c r="TWD34" s="515"/>
      <c r="TWE34" s="515"/>
      <c r="TWF34" s="515"/>
      <c r="TWG34" s="515"/>
      <c r="TWH34" s="515"/>
      <c r="TWI34" s="515"/>
      <c r="TWJ34" s="515"/>
      <c r="TWK34" s="514"/>
      <c r="TWL34" s="515"/>
      <c r="TWM34" s="515"/>
      <c r="TWN34" s="515"/>
      <c r="TWO34" s="515"/>
      <c r="TWP34" s="515"/>
      <c r="TWQ34" s="515"/>
      <c r="TWR34" s="515"/>
      <c r="TWS34" s="514"/>
      <c r="TWT34" s="515"/>
      <c r="TWU34" s="515"/>
      <c r="TWV34" s="515"/>
      <c r="TWW34" s="515"/>
      <c r="TWX34" s="515"/>
      <c r="TWY34" s="515"/>
      <c r="TWZ34" s="515"/>
      <c r="TXA34" s="514"/>
      <c r="TXB34" s="515"/>
      <c r="TXC34" s="515"/>
      <c r="TXD34" s="515"/>
      <c r="TXE34" s="515"/>
      <c r="TXF34" s="515"/>
      <c r="TXG34" s="515"/>
      <c r="TXH34" s="515"/>
      <c r="TXI34" s="514"/>
      <c r="TXJ34" s="515"/>
      <c r="TXK34" s="515"/>
      <c r="TXL34" s="515"/>
      <c r="TXM34" s="515"/>
      <c r="TXN34" s="515"/>
      <c r="TXO34" s="515"/>
      <c r="TXP34" s="515"/>
      <c r="TXQ34" s="514"/>
      <c r="TXR34" s="515"/>
      <c r="TXS34" s="515"/>
      <c r="TXT34" s="515"/>
      <c r="TXU34" s="515"/>
      <c r="TXV34" s="515"/>
      <c r="TXW34" s="515"/>
      <c r="TXX34" s="515"/>
      <c r="TXY34" s="514"/>
      <c r="TXZ34" s="515"/>
      <c r="TYA34" s="515"/>
      <c r="TYB34" s="515"/>
      <c r="TYC34" s="515"/>
      <c r="TYD34" s="515"/>
      <c r="TYE34" s="515"/>
      <c r="TYF34" s="515"/>
      <c r="TYG34" s="514"/>
      <c r="TYH34" s="515"/>
      <c r="TYI34" s="515"/>
      <c r="TYJ34" s="515"/>
      <c r="TYK34" s="515"/>
      <c r="TYL34" s="515"/>
      <c r="TYM34" s="515"/>
      <c r="TYN34" s="515"/>
      <c r="TYO34" s="514"/>
      <c r="TYP34" s="515"/>
      <c r="TYQ34" s="515"/>
      <c r="TYR34" s="515"/>
      <c r="TYS34" s="515"/>
      <c r="TYT34" s="515"/>
      <c r="TYU34" s="515"/>
      <c r="TYV34" s="515"/>
      <c r="TYW34" s="514"/>
      <c r="TYX34" s="515"/>
      <c r="TYY34" s="515"/>
      <c r="TYZ34" s="515"/>
      <c r="TZA34" s="515"/>
      <c r="TZB34" s="515"/>
      <c r="TZC34" s="515"/>
      <c r="TZD34" s="515"/>
      <c r="TZE34" s="514"/>
      <c r="TZF34" s="515"/>
      <c r="TZG34" s="515"/>
      <c r="TZH34" s="515"/>
      <c r="TZI34" s="515"/>
      <c r="TZJ34" s="515"/>
      <c r="TZK34" s="515"/>
      <c r="TZL34" s="515"/>
      <c r="TZM34" s="514"/>
      <c r="TZN34" s="515"/>
      <c r="TZO34" s="515"/>
      <c r="TZP34" s="515"/>
      <c r="TZQ34" s="515"/>
      <c r="TZR34" s="515"/>
      <c r="TZS34" s="515"/>
      <c r="TZT34" s="515"/>
      <c r="TZU34" s="514"/>
      <c r="TZV34" s="515"/>
      <c r="TZW34" s="515"/>
      <c r="TZX34" s="515"/>
      <c r="TZY34" s="515"/>
      <c r="TZZ34" s="515"/>
      <c r="UAA34" s="515"/>
      <c r="UAB34" s="515"/>
      <c r="UAC34" s="514"/>
      <c r="UAD34" s="515"/>
      <c r="UAE34" s="515"/>
      <c r="UAF34" s="515"/>
      <c r="UAG34" s="515"/>
      <c r="UAH34" s="515"/>
      <c r="UAI34" s="515"/>
      <c r="UAJ34" s="515"/>
      <c r="UAK34" s="514"/>
      <c r="UAL34" s="515"/>
      <c r="UAM34" s="515"/>
      <c r="UAN34" s="515"/>
      <c r="UAO34" s="515"/>
      <c r="UAP34" s="515"/>
      <c r="UAQ34" s="515"/>
      <c r="UAR34" s="515"/>
      <c r="UAS34" s="514"/>
      <c r="UAT34" s="515"/>
      <c r="UAU34" s="515"/>
      <c r="UAV34" s="515"/>
      <c r="UAW34" s="515"/>
      <c r="UAX34" s="515"/>
      <c r="UAY34" s="515"/>
      <c r="UAZ34" s="515"/>
      <c r="UBA34" s="514"/>
      <c r="UBB34" s="515"/>
      <c r="UBC34" s="515"/>
      <c r="UBD34" s="515"/>
      <c r="UBE34" s="515"/>
      <c r="UBF34" s="515"/>
      <c r="UBG34" s="515"/>
      <c r="UBH34" s="515"/>
      <c r="UBI34" s="514"/>
      <c r="UBJ34" s="515"/>
      <c r="UBK34" s="515"/>
      <c r="UBL34" s="515"/>
      <c r="UBM34" s="515"/>
      <c r="UBN34" s="515"/>
      <c r="UBO34" s="515"/>
      <c r="UBP34" s="515"/>
      <c r="UBQ34" s="514"/>
      <c r="UBR34" s="515"/>
      <c r="UBS34" s="515"/>
      <c r="UBT34" s="515"/>
      <c r="UBU34" s="515"/>
      <c r="UBV34" s="515"/>
      <c r="UBW34" s="515"/>
      <c r="UBX34" s="515"/>
      <c r="UBY34" s="514"/>
      <c r="UBZ34" s="515"/>
      <c r="UCA34" s="515"/>
      <c r="UCB34" s="515"/>
      <c r="UCC34" s="515"/>
      <c r="UCD34" s="515"/>
      <c r="UCE34" s="515"/>
      <c r="UCF34" s="515"/>
      <c r="UCG34" s="514"/>
      <c r="UCH34" s="515"/>
      <c r="UCI34" s="515"/>
      <c r="UCJ34" s="515"/>
      <c r="UCK34" s="515"/>
      <c r="UCL34" s="515"/>
      <c r="UCM34" s="515"/>
      <c r="UCN34" s="515"/>
      <c r="UCO34" s="514"/>
      <c r="UCP34" s="515"/>
      <c r="UCQ34" s="515"/>
      <c r="UCR34" s="515"/>
      <c r="UCS34" s="515"/>
      <c r="UCT34" s="515"/>
      <c r="UCU34" s="515"/>
      <c r="UCV34" s="515"/>
      <c r="UCW34" s="514"/>
      <c r="UCX34" s="515"/>
      <c r="UCY34" s="515"/>
      <c r="UCZ34" s="515"/>
      <c r="UDA34" s="515"/>
      <c r="UDB34" s="515"/>
      <c r="UDC34" s="515"/>
      <c r="UDD34" s="515"/>
      <c r="UDE34" s="514"/>
      <c r="UDF34" s="515"/>
      <c r="UDG34" s="515"/>
      <c r="UDH34" s="515"/>
      <c r="UDI34" s="515"/>
      <c r="UDJ34" s="515"/>
      <c r="UDK34" s="515"/>
      <c r="UDL34" s="515"/>
      <c r="UDM34" s="514"/>
      <c r="UDN34" s="515"/>
      <c r="UDO34" s="515"/>
      <c r="UDP34" s="515"/>
      <c r="UDQ34" s="515"/>
      <c r="UDR34" s="515"/>
      <c r="UDS34" s="515"/>
      <c r="UDT34" s="515"/>
      <c r="UDU34" s="514"/>
      <c r="UDV34" s="515"/>
      <c r="UDW34" s="515"/>
      <c r="UDX34" s="515"/>
      <c r="UDY34" s="515"/>
      <c r="UDZ34" s="515"/>
      <c r="UEA34" s="515"/>
      <c r="UEB34" s="515"/>
      <c r="UEC34" s="514"/>
      <c r="UED34" s="515"/>
      <c r="UEE34" s="515"/>
      <c r="UEF34" s="515"/>
      <c r="UEG34" s="515"/>
      <c r="UEH34" s="515"/>
      <c r="UEI34" s="515"/>
      <c r="UEJ34" s="515"/>
      <c r="UEK34" s="514"/>
      <c r="UEL34" s="515"/>
      <c r="UEM34" s="515"/>
      <c r="UEN34" s="515"/>
      <c r="UEO34" s="515"/>
      <c r="UEP34" s="515"/>
      <c r="UEQ34" s="515"/>
      <c r="UER34" s="515"/>
      <c r="UES34" s="514"/>
      <c r="UET34" s="515"/>
      <c r="UEU34" s="515"/>
      <c r="UEV34" s="515"/>
      <c r="UEW34" s="515"/>
      <c r="UEX34" s="515"/>
      <c r="UEY34" s="515"/>
      <c r="UEZ34" s="515"/>
      <c r="UFA34" s="514"/>
      <c r="UFB34" s="515"/>
      <c r="UFC34" s="515"/>
      <c r="UFD34" s="515"/>
      <c r="UFE34" s="515"/>
      <c r="UFF34" s="515"/>
      <c r="UFG34" s="515"/>
      <c r="UFH34" s="515"/>
      <c r="UFI34" s="514"/>
      <c r="UFJ34" s="515"/>
      <c r="UFK34" s="515"/>
      <c r="UFL34" s="515"/>
      <c r="UFM34" s="515"/>
      <c r="UFN34" s="515"/>
      <c r="UFO34" s="515"/>
      <c r="UFP34" s="515"/>
      <c r="UFQ34" s="514"/>
      <c r="UFR34" s="515"/>
      <c r="UFS34" s="515"/>
      <c r="UFT34" s="515"/>
      <c r="UFU34" s="515"/>
      <c r="UFV34" s="515"/>
      <c r="UFW34" s="515"/>
      <c r="UFX34" s="515"/>
      <c r="UFY34" s="514"/>
      <c r="UFZ34" s="515"/>
      <c r="UGA34" s="515"/>
      <c r="UGB34" s="515"/>
      <c r="UGC34" s="515"/>
      <c r="UGD34" s="515"/>
      <c r="UGE34" s="515"/>
      <c r="UGF34" s="515"/>
      <c r="UGG34" s="514"/>
      <c r="UGH34" s="515"/>
      <c r="UGI34" s="515"/>
      <c r="UGJ34" s="515"/>
      <c r="UGK34" s="515"/>
      <c r="UGL34" s="515"/>
      <c r="UGM34" s="515"/>
      <c r="UGN34" s="515"/>
      <c r="UGO34" s="514"/>
      <c r="UGP34" s="515"/>
      <c r="UGQ34" s="515"/>
      <c r="UGR34" s="515"/>
      <c r="UGS34" s="515"/>
      <c r="UGT34" s="515"/>
      <c r="UGU34" s="515"/>
      <c r="UGV34" s="515"/>
      <c r="UGW34" s="514"/>
      <c r="UGX34" s="515"/>
      <c r="UGY34" s="515"/>
      <c r="UGZ34" s="515"/>
      <c r="UHA34" s="515"/>
      <c r="UHB34" s="515"/>
      <c r="UHC34" s="515"/>
      <c r="UHD34" s="515"/>
      <c r="UHE34" s="514"/>
      <c r="UHF34" s="515"/>
      <c r="UHG34" s="515"/>
      <c r="UHH34" s="515"/>
      <c r="UHI34" s="515"/>
      <c r="UHJ34" s="515"/>
      <c r="UHK34" s="515"/>
      <c r="UHL34" s="515"/>
      <c r="UHM34" s="514"/>
      <c r="UHN34" s="515"/>
      <c r="UHO34" s="515"/>
      <c r="UHP34" s="515"/>
      <c r="UHQ34" s="515"/>
      <c r="UHR34" s="515"/>
      <c r="UHS34" s="515"/>
      <c r="UHT34" s="515"/>
      <c r="UHU34" s="514"/>
      <c r="UHV34" s="515"/>
      <c r="UHW34" s="515"/>
      <c r="UHX34" s="515"/>
      <c r="UHY34" s="515"/>
      <c r="UHZ34" s="515"/>
      <c r="UIA34" s="515"/>
      <c r="UIB34" s="515"/>
      <c r="UIC34" s="514"/>
      <c r="UID34" s="515"/>
      <c r="UIE34" s="515"/>
      <c r="UIF34" s="515"/>
      <c r="UIG34" s="515"/>
      <c r="UIH34" s="515"/>
      <c r="UII34" s="515"/>
      <c r="UIJ34" s="515"/>
      <c r="UIK34" s="514"/>
      <c r="UIL34" s="515"/>
      <c r="UIM34" s="515"/>
      <c r="UIN34" s="515"/>
      <c r="UIO34" s="515"/>
      <c r="UIP34" s="515"/>
      <c r="UIQ34" s="515"/>
      <c r="UIR34" s="515"/>
      <c r="UIS34" s="514"/>
      <c r="UIT34" s="515"/>
      <c r="UIU34" s="515"/>
      <c r="UIV34" s="515"/>
      <c r="UIW34" s="515"/>
      <c r="UIX34" s="515"/>
      <c r="UIY34" s="515"/>
      <c r="UIZ34" s="515"/>
      <c r="UJA34" s="514"/>
      <c r="UJB34" s="515"/>
      <c r="UJC34" s="515"/>
      <c r="UJD34" s="515"/>
      <c r="UJE34" s="515"/>
      <c r="UJF34" s="515"/>
      <c r="UJG34" s="515"/>
      <c r="UJH34" s="515"/>
      <c r="UJI34" s="514"/>
      <c r="UJJ34" s="515"/>
      <c r="UJK34" s="515"/>
      <c r="UJL34" s="515"/>
      <c r="UJM34" s="515"/>
      <c r="UJN34" s="515"/>
      <c r="UJO34" s="515"/>
      <c r="UJP34" s="515"/>
      <c r="UJQ34" s="514"/>
      <c r="UJR34" s="515"/>
      <c r="UJS34" s="515"/>
      <c r="UJT34" s="515"/>
      <c r="UJU34" s="515"/>
      <c r="UJV34" s="515"/>
      <c r="UJW34" s="515"/>
      <c r="UJX34" s="515"/>
      <c r="UJY34" s="514"/>
      <c r="UJZ34" s="515"/>
      <c r="UKA34" s="515"/>
      <c r="UKB34" s="515"/>
      <c r="UKC34" s="515"/>
      <c r="UKD34" s="515"/>
      <c r="UKE34" s="515"/>
      <c r="UKF34" s="515"/>
      <c r="UKG34" s="514"/>
      <c r="UKH34" s="515"/>
      <c r="UKI34" s="515"/>
      <c r="UKJ34" s="515"/>
      <c r="UKK34" s="515"/>
      <c r="UKL34" s="515"/>
      <c r="UKM34" s="515"/>
      <c r="UKN34" s="515"/>
      <c r="UKO34" s="514"/>
      <c r="UKP34" s="515"/>
      <c r="UKQ34" s="515"/>
      <c r="UKR34" s="515"/>
      <c r="UKS34" s="515"/>
      <c r="UKT34" s="515"/>
      <c r="UKU34" s="515"/>
      <c r="UKV34" s="515"/>
      <c r="UKW34" s="514"/>
      <c r="UKX34" s="515"/>
      <c r="UKY34" s="515"/>
      <c r="UKZ34" s="515"/>
      <c r="ULA34" s="515"/>
      <c r="ULB34" s="515"/>
      <c r="ULC34" s="515"/>
      <c r="ULD34" s="515"/>
      <c r="ULE34" s="514"/>
      <c r="ULF34" s="515"/>
      <c r="ULG34" s="515"/>
      <c r="ULH34" s="515"/>
      <c r="ULI34" s="515"/>
      <c r="ULJ34" s="515"/>
      <c r="ULK34" s="515"/>
      <c r="ULL34" s="515"/>
      <c r="ULM34" s="514"/>
      <c r="ULN34" s="515"/>
      <c r="ULO34" s="515"/>
      <c r="ULP34" s="515"/>
      <c r="ULQ34" s="515"/>
      <c r="ULR34" s="515"/>
      <c r="ULS34" s="515"/>
      <c r="ULT34" s="515"/>
      <c r="ULU34" s="514"/>
      <c r="ULV34" s="515"/>
      <c r="ULW34" s="515"/>
      <c r="ULX34" s="515"/>
      <c r="ULY34" s="515"/>
      <c r="ULZ34" s="515"/>
      <c r="UMA34" s="515"/>
      <c r="UMB34" s="515"/>
      <c r="UMC34" s="514"/>
      <c r="UMD34" s="515"/>
      <c r="UME34" s="515"/>
      <c r="UMF34" s="515"/>
      <c r="UMG34" s="515"/>
      <c r="UMH34" s="515"/>
      <c r="UMI34" s="515"/>
      <c r="UMJ34" s="515"/>
      <c r="UMK34" s="514"/>
      <c r="UML34" s="515"/>
      <c r="UMM34" s="515"/>
      <c r="UMN34" s="515"/>
      <c r="UMO34" s="515"/>
      <c r="UMP34" s="515"/>
      <c r="UMQ34" s="515"/>
      <c r="UMR34" s="515"/>
      <c r="UMS34" s="514"/>
      <c r="UMT34" s="515"/>
      <c r="UMU34" s="515"/>
      <c r="UMV34" s="515"/>
      <c r="UMW34" s="515"/>
      <c r="UMX34" s="515"/>
      <c r="UMY34" s="515"/>
      <c r="UMZ34" s="515"/>
      <c r="UNA34" s="514"/>
      <c r="UNB34" s="515"/>
      <c r="UNC34" s="515"/>
      <c r="UND34" s="515"/>
      <c r="UNE34" s="515"/>
      <c r="UNF34" s="515"/>
      <c r="UNG34" s="515"/>
      <c r="UNH34" s="515"/>
      <c r="UNI34" s="514"/>
      <c r="UNJ34" s="515"/>
      <c r="UNK34" s="515"/>
      <c r="UNL34" s="515"/>
      <c r="UNM34" s="515"/>
      <c r="UNN34" s="515"/>
      <c r="UNO34" s="515"/>
      <c r="UNP34" s="515"/>
      <c r="UNQ34" s="514"/>
      <c r="UNR34" s="515"/>
      <c r="UNS34" s="515"/>
      <c r="UNT34" s="515"/>
      <c r="UNU34" s="515"/>
      <c r="UNV34" s="515"/>
      <c r="UNW34" s="515"/>
      <c r="UNX34" s="515"/>
      <c r="UNY34" s="514"/>
      <c r="UNZ34" s="515"/>
      <c r="UOA34" s="515"/>
      <c r="UOB34" s="515"/>
      <c r="UOC34" s="515"/>
      <c r="UOD34" s="515"/>
      <c r="UOE34" s="515"/>
      <c r="UOF34" s="515"/>
      <c r="UOG34" s="514"/>
      <c r="UOH34" s="515"/>
      <c r="UOI34" s="515"/>
      <c r="UOJ34" s="515"/>
      <c r="UOK34" s="515"/>
      <c r="UOL34" s="515"/>
      <c r="UOM34" s="515"/>
      <c r="UON34" s="515"/>
      <c r="UOO34" s="514"/>
      <c r="UOP34" s="515"/>
      <c r="UOQ34" s="515"/>
      <c r="UOR34" s="515"/>
      <c r="UOS34" s="515"/>
      <c r="UOT34" s="515"/>
      <c r="UOU34" s="515"/>
      <c r="UOV34" s="515"/>
      <c r="UOW34" s="514"/>
      <c r="UOX34" s="515"/>
      <c r="UOY34" s="515"/>
      <c r="UOZ34" s="515"/>
      <c r="UPA34" s="515"/>
      <c r="UPB34" s="515"/>
      <c r="UPC34" s="515"/>
      <c r="UPD34" s="515"/>
      <c r="UPE34" s="514"/>
      <c r="UPF34" s="515"/>
      <c r="UPG34" s="515"/>
      <c r="UPH34" s="515"/>
      <c r="UPI34" s="515"/>
      <c r="UPJ34" s="515"/>
      <c r="UPK34" s="515"/>
      <c r="UPL34" s="515"/>
      <c r="UPM34" s="514"/>
      <c r="UPN34" s="515"/>
      <c r="UPO34" s="515"/>
      <c r="UPP34" s="515"/>
      <c r="UPQ34" s="515"/>
      <c r="UPR34" s="515"/>
      <c r="UPS34" s="515"/>
      <c r="UPT34" s="515"/>
      <c r="UPU34" s="514"/>
      <c r="UPV34" s="515"/>
      <c r="UPW34" s="515"/>
      <c r="UPX34" s="515"/>
      <c r="UPY34" s="515"/>
      <c r="UPZ34" s="515"/>
      <c r="UQA34" s="515"/>
      <c r="UQB34" s="515"/>
      <c r="UQC34" s="514"/>
      <c r="UQD34" s="515"/>
      <c r="UQE34" s="515"/>
      <c r="UQF34" s="515"/>
      <c r="UQG34" s="515"/>
      <c r="UQH34" s="515"/>
      <c r="UQI34" s="515"/>
      <c r="UQJ34" s="515"/>
      <c r="UQK34" s="514"/>
      <c r="UQL34" s="515"/>
      <c r="UQM34" s="515"/>
      <c r="UQN34" s="515"/>
      <c r="UQO34" s="515"/>
      <c r="UQP34" s="515"/>
      <c r="UQQ34" s="515"/>
      <c r="UQR34" s="515"/>
      <c r="UQS34" s="514"/>
      <c r="UQT34" s="515"/>
      <c r="UQU34" s="515"/>
      <c r="UQV34" s="515"/>
      <c r="UQW34" s="515"/>
      <c r="UQX34" s="515"/>
      <c r="UQY34" s="515"/>
      <c r="UQZ34" s="515"/>
      <c r="URA34" s="514"/>
      <c r="URB34" s="515"/>
      <c r="URC34" s="515"/>
      <c r="URD34" s="515"/>
      <c r="URE34" s="515"/>
      <c r="URF34" s="515"/>
      <c r="URG34" s="515"/>
      <c r="URH34" s="515"/>
      <c r="URI34" s="514"/>
      <c r="URJ34" s="515"/>
      <c r="URK34" s="515"/>
      <c r="URL34" s="515"/>
      <c r="URM34" s="515"/>
      <c r="URN34" s="515"/>
      <c r="URO34" s="515"/>
      <c r="URP34" s="515"/>
      <c r="URQ34" s="514"/>
      <c r="URR34" s="515"/>
      <c r="URS34" s="515"/>
      <c r="URT34" s="515"/>
      <c r="URU34" s="515"/>
      <c r="URV34" s="515"/>
      <c r="URW34" s="515"/>
      <c r="URX34" s="515"/>
      <c r="URY34" s="514"/>
      <c r="URZ34" s="515"/>
      <c r="USA34" s="515"/>
      <c r="USB34" s="515"/>
      <c r="USC34" s="515"/>
      <c r="USD34" s="515"/>
      <c r="USE34" s="515"/>
      <c r="USF34" s="515"/>
      <c r="USG34" s="514"/>
      <c r="USH34" s="515"/>
      <c r="USI34" s="515"/>
      <c r="USJ34" s="515"/>
      <c r="USK34" s="515"/>
      <c r="USL34" s="515"/>
      <c r="USM34" s="515"/>
      <c r="USN34" s="515"/>
      <c r="USO34" s="514"/>
      <c r="USP34" s="515"/>
      <c r="USQ34" s="515"/>
      <c r="USR34" s="515"/>
      <c r="USS34" s="515"/>
      <c r="UST34" s="515"/>
      <c r="USU34" s="515"/>
      <c r="USV34" s="515"/>
      <c r="USW34" s="514"/>
      <c r="USX34" s="515"/>
      <c r="USY34" s="515"/>
      <c r="USZ34" s="515"/>
      <c r="UTA34" s="515"/>
      <c r="UTB34" s="515"/>
      <c r="UTC34" s="515"/>
      <c r="UTD34" s="515"/>
      <c r="UTE34" s="514"/>
      <c r="UTF34" s="515"/>
      <c r="UTG34" s="515"/>
      <c r="UTH34" s="515"/>
      <c r="UTI34" s="515"/>
      <c r="UTJ34" s="515"/>
      <c r="UTK34" s="515"/>
      <c r="UTL34" s="515"/>
      <c r="UTM34" s="514"/>
      <c r="UTN34" s="515"/>
      <c r="UTO34" s="515"/>
      <c r="UTP34" s="515"/>
      <c r="UTQ34" s="515"/>
      <c r="UTR34" s="515"/>
      <c r="UTS34" s="515"/>
      <c r="UTT34" s="515"/>
      <c r="UTU34" s="514"/>
      <c r="UTV34" s="515"/>
      <c r="UTW34" s="515"/>
      <c r="UTX34" s="515"/>
      <c r="UTY34" s="515"/>
      <c r="UTZ34" s="515"/>
      <c r="UUA34" s="515"/>
      <c r="UUB34" s="515"/>
      <c r="UUC34" s="514"/>
      <c r="UUD34" s="515"/>
      <c r="UUE34" s="515"/>
      <c r="UUF34" s="515"/>
      <c r="UUG34" s="515"/>
      <c r="UUH34" s="515"/>
      <c r="UUI34" s="515"/>
      <c r="UUJ34" s="515"/>
      <c r="UUK34" s="514"/>
      <c r="UUL34" s="515"/>
      <c r="UUM34" s="515"/>
      <c r="UUN34" s="515"/>
      <c r="UUO34" s="515"/>
      <c r="UUP34" s="515"/>
      <c r="UUQ34" s="515"/>
      <c r="UUR34" s="515"/>
      <c r="UUS34" s="514"/>
      <c r="UUT34" s="515"/>
      <c r="UUU34" s="515"/>
      <c r="UUV34" s="515"/>
      <c r="UUW34" s="515"/>
      <c r="UUX34" s="515"/>
      <c r="UUY34" s="515"/>
      <c r="UUZ34" s="515"/>
      <c r="UVA34" s="514"/>
      <c r="UVB34" s="515"/>
      <c r="UVC34" s="515"/>
      <c r="UVD34" s="515"/>
      <c r="UVE34" s="515"/>
      <c r="UVF34" s="515"/>
      <c r="UVG34" s="515"/>
      <c r="UVH34" s="515"/>
      <c r="UVI34" s="514"/>
      <c r="UVJ34" s="515"/>
      <c r="UVK34" s="515"/>
      <c r="UVL34" s="515"/>
      <c r="UVM34" s="515"/>
      <c r="UVN34" s="515"/>
      <c r="UVO34" s="515"/>
      <c r="UVP34" s="515"/>
      <c r="UVQ34" s="514"/>
      <c r="UVR34" s="515"/>
      <c r="UVS34" s="515"/>
      <c r="UVT34" s="515"/>
      <c r="UVU34" s="515"/>
      <c r="UVV34" s="515"/>
      <c r="UVW34" s="515"/>
      <c r="UVX34" s="515"/>
      <c r="UVY34" s="514"/>
      <c r="UVZ34" s="515"/>
      <c r="UWA34" s="515"/>
      <c r="UWB34" s="515"/>
      <c r="UWC34" s="515"/>
      <c r="UWD34" s="515"/>
      <c r="UWE34" s="515"/>
      <c r="UWF34" s="515"/>
      <c r="UWG34" s="514"/>
      <c r="UWH34" s="515"/>
      <c r="UWI34" s="515"/>
      <c r="UWJ34" s="515"/>
      <c r="UWK34" s="515"/>
      <c r="UWL34" s="515"/>
      <c r="UWM34" s="515"/>
      <c r="UWN34" s="515"/>
      <c r="UWO34" s="514"/>
      <c r="UWP34" s="515"/>
      <c r="UWQ34" s="515"/>
      <c r="UWR34" s="515"/>
      <c r="UWS34" s="515"/>
      <c r="UWT34" s="515"/>
      <c r="UWU34" s="515"/>
      <c r="UWV34" s="515"/>
      <c r="UWW34" s="514"/>
      <c r="UWX34" s="515"/>
      <c r="UWY34" s="515"/>
      <c r="UWZ34" s="515"/>
      <c r="UXA34" s="515"/>
      <c r="UXB34" s="515"/>
      <c r="UXC34" s="515"/>
      <c r="UXD34" s="515"/>
      <c r="UXE34" s="514"/>
      <c r="UXF34" s="515"/>
      <c r="UXG34" s="515"/>
      <c r="UXH34" s="515"/>
      <c r="UXI34" s="515"/>
      <c r="UXJ34" s="515"/>
      <c r="UXK34" s="515"/>
      <c r="UXL34" s="515"/>
      <c r="UXM34" s="514"/>
      <c r="UXN34" s="515"/>
      <c r="UXO34" s="515"/>
      <c r="UXP34" s="515"/>
      <c r="UXQ34" s="515"/>
      <c r="UXR34" s="515"/>
      <c r="UXS34" s="515"/>
      <c r="UXT34" s="515"/>
      <c r="UXU34" s="514"/>
      <c r="UXV34" s="515"/>
      <c r="UXW34" s="515"/>
      <c r="UXX34" s="515"/>
      <c r="UXY34" s="515"/>
      <c r="UXZ34" s="515"/>
      <c r="UYA34" s="515"/>
      <c r="UYB34" s="515"/>
      <c r="UYC34" s="514"/>
      <c r="UYD34" s="515"/>
      <c r="UYE34" s="515"/>
      <c r="UYF34" s="515"/>
      <c r="UYG34" s="515"/>
      <c r="UYH34" s="515"/>
      <c r="UYI34" s="515"/>
      <c r="UYJ34" s="515"/>
      <c r="UYK34" s="514"/>
      <c r="UYL34" s="515"/>
      <c r="UYM34" s="515"/>
      <c r="UYN34" s="515"/>
      <c r="UYO34" s="515"/>
      <c r="UYP34" s="515"/>
      <c r="UYQ34" s="515"/>
      <c r="UYR34" s="515"/>
      <c r="UYS34" s="514"/>
      <c r="UYT34" s="515"/>
      <c r="UYU34" s="515"/>
      <c r="UYV34" s="515"/>
      <c r="UYW34" s="515"/>
      <c r="UYX34" s="515"/>
      <c r="UYY34" s="515"/>
      <c r="UYZ34" s="515"/>
      <c r="UZA34" s="514"/>
      <c r="UZB34" s="515"/>
      <c r="UZC34" s="515"/>
      <c r="UZD34" s="515"/>
      <c r="UZE34" s="515"/>
      <c r="UZF34" s="515"/>
      <c r="UZG34" s="515"/>
      <c r="UZH34" s="515"/>
      <c r="UZI34" s="514"/>
      <c r="UZJ34" s="515"/>
      <c r="UZK34" s="515"/>
      <c r="UZL34" s="515"/>
      <c r="UZM34" s="515"/>
      <c r="UZN34" s="515"/>
      <c r="UZO34" s="515"/>
      <c r="UZP34" s="515"/>
      <c r="UZQ34" s="514"/>
      <c r="UZR34" s="515"/>
      <c r="UZS34" s="515"/>
      <c r="UZT34" s="515"/>
      <c r="UZU34" s="515"/>
      <c r="UZV34" s="515"/>
      <c r="UZW34" s="515"/>
      <c r="UZX34" s="515"/>
      <c r="UZY34" s="514"/>
      <c r="UZZ34" s="515"/>
      <c r="VAA34" s="515"/>
      <c r="VAB34" s="515"/>
      <c r="VAC34" s="515"/>
      <c r="VAD34" s="515"/>
      <c r="VAE34" s="515"/>
      <c r="VAF34" s="515"/>
      <c r="VAG34" s="514"/>
      <c r="VAH34" s="515"/>
      <c r="VAI34" s="515"/>
      <c r="VAJ34" s="515"/>
      <c r="VAK34" s="515"/>
      <c r="VAL34" s="515"/>
      <c r="VAM34" s="515"/>
      <c r="VAN34" s="515"/>
      <c r="VAO34" s="514"/>
      <c r="VAP34" s="515"/>
      <c r="VAQ34" s="515"/>
      <c r="VAR34" s="515"/>
      <c r="VAS34" s="515"/>
      <c r="VAT34" s="515"/>
      <c r="VAU34" s="515"/>
      <c r="VAV34" s="515"/>
      <c r="VAW34" s="514"/>
      <c r="VAX34" s="515"/>
      <c r="VAY34" s="515"/>
      <c r="VAZ34" s="515"/>
      <c r="VBA34" s="515"/>
      <c r="VBB34" s="515"/>
      <c r="VBC34" s="515"/>
      <c r="VBD34" s="515"/>
      <c r="VBE34" s="514"/>
      <c r="VBF34" s="515"/>
      <c r="VBG34" s="515"/>
      <c r="VBH34" s="515"/>
      <c r="VBI34" s="515"/>
      <c r="VBJ34" s="515"/>
      <c r="VBK34" s="515"/>
      <c r="VBL34" s="515"/>
      <c r="VBM34" s="514"/>
      <c r="VBN34" s="515"/>
      <c r="VBO34" s="515"/>
      <c r="VBP34" s="515"/>
      <c r="VBQ34" s="515"/>
      <c r="VBR34" s="515"/>
      <c r="VBS34" s="515"/>
      <c r="VBT34" s="515"/>
      <c r="VBU34" s="514"/>
      <c r="VBV34" s="515"/>
      <c r="VBW34" s="515"/>
      <c r="VBX34" s="515"/>
      <c r="VBY34" s="515"/>
      <c r="VBZ34" s="515"/>
      <c r="VCA34" s="515"/>
      <c r="VCB34" s="515"/>
      <c r="VCC34" s="514"/>
      <c r="VCD34" s="515"/>
      <c r="VCE34" s="515"/>
      <c r="VCF34" s="515"/>
      <c r="VCG34" s="515"/>
      <c r="VCH34" s="515"/>
      <c r="VCI34" s="515"/>
      <c r="VCJ34" s="515"/>
      <c r="VCK34" s="514"/>
      <c r="VCL34" s="515"/>
      <c r="VCM34" s="515"/>
      <c r="VCN34" s="515"/>
      <c r="VCO34" s="515"/>
      <c r="VCP34" s="515"/>
      <c r="VCQ34" s="515"/>
      <c r="VCR34" s="515"/>
      <c r="VCS34" s="514"/>
      <c r="VCT34" s="515"/>
      <c r="VCU34" s="515"/>
      <c r="VCV34" s="515"/>
      <c r="VCW34" s="515"/>
      <c r="VCX34" s="515"/>
      <c r="VCY34" s="515"/>
      <c r="VCZ34" s="515"/>
      <c r="VDA34" s="514"/>
      <c r="VDB34" s="515"/>
      <c r="VDC34" s="515"/>
      <c r="VDD34" s="515"/>
      <c r="VDE34" s="515"/>
      <c r="VDF34" s="515"/>
      <c r="VDG34" s="515"/>
      <c r="VDH34" s="515"/>
      <c r="VDI34" s="514"/>
      <c r="VDJ34" s="515"/>
      <c r="VDK34" s="515"/>
      <c r="VDL34" s="515"/>
      <c r="VDM34" s="515"/>
      <c r="VDN34" s="515"/>
      <c r="VDO34" s="515"/>
      <c r="VDP34" s="515"/>
      <c r="VDQ34" s="514"/>
      <c r="VDR34" s="515"/>
      <c r="VDS34" s="515"/>
      <c r="VDT34" s="515"/>
      <c r="VDU34" s="515"/>
      <c r="VDV34" s="515"/>
      <c r="VDW34" s="515"/>
      <c r="VDX34" s="515"/>
      <c r="VDY34" s="514"/>
      <c r="VDZ34" s="515"/>
      <c r="VEA34" s="515"/>
      <c r="VEB34" s="515"/>
      <c r="VEC34" s="515"/>
      <c r="VED34" s="515"/>
      <c r="VEE34" s="515"/>
      <c r="VEF34" s="515"/>
      <c r="VEG34" s="514"/>
      <c r="VEH34" s="515"/>
      <c r="VEI34" s="515"/>
      <c r="VEJ34" s="515"/>
      <c r="VEK34" s="515"/>
      <c r="VEL34" s="515"/>
      <c r="VEM34" s="515"/>
      <c r="VEN34" s="515"/>
      <c r="VEO34" s="514"/>
      <c r="VEP34" s="515"/>
      <c r="VEQ34" s="515"/>
      <c r="VER34" s="515"/>
      <c r="VES34" s="515"/>
      <c r="VET34" s="515"/>
      <c r="VEU34" s="515"/>
      <c r="VEV34" s="515"/>
      <c r="VEW34" s="514"/>
      <c r="VEX34" s="515"/>
      <c r="VEY34" s="515"/>
      <c r="VEZ34" s="515"/>
      <c r="VFA34" s="515"/>
      <c r="VFB34" s="515"/>
      <c r="VFC34" s="515"/>
      <c r="VFD34" s="515"/>
      <c r="VFE34" s="514"/>
      <c r="VFF34" s="515"/>
      <c r="VFG34" s="515"/>
      <c r="VFH34" s="515"/>
      <c r="VFI34" s="515"/>
      <c r="VFJ34" s="515"/>
      <c r="VFK34" s="515"/>
      <c r="VFL34" s="515"/>
      <c r="VFM34" s="514"/>
      <c r="VFN34" s="515"/>
      <c r="VFO34" s="515"/>
      <c r="VFP34" s="515"/>
      <c r="VFQ34" s="515"/>
      <c r="VFR34" s="515"/>
      <c r="VFS34" s="515"/>
      <c r="VFT34" s="515"/>
      <c r="VFU34" s="514"/>
      <c r="VFV34" s="515"/>
      <c r="VFW34" s="515"/>
      <c r="VFX34" s="515"/>
      <c r="VFY34" s="515"/>
      <c r="VFZ34" s="515"/>
      <c r="VGA34" s="515"/>
      <c r="VGB34" s="515"/>
      <c r="VGC34" s="514"/>
      <c r="VGD34" s="515"/>
      <c r="VGE34" s="515"/>
      <c r="VGF34" s="515"/>
      <c r="VGG34" s="515"/>
      <c r="VGH34" s="515"/>
      <c r="VGI34" s="515"/>
      <c r="VGJ34" s="515"/>
      <c r="VGK34" s="514"/>
      <c r="VGL34" s="515"/>
      <c r="VGM34" s="515"/>
      <c r="VGN34" s="515"/>
      <c r="VGO34" s="515"/>
      <c r="VGP34" s="515"/>
      <c r="VGQ34" s="515"/>
      <c r="VGR34" s="515"/>
      <c r="VGS34" s="514"/>
      <c r="VGT34" s="515"/>
      <c r="VGU34" s="515"/>
      <c r="VGV34" s="515"/>
      <c r="VGW34" s="515"/>
      <c r="VGX34" s="515"/>
      <c r="VGY34" s="515"/>
      <c r="VGZ34" s="515"/>
      <c r="VHA34" s="514"/>
      <c r="VHB34" s="515"/>
      <c r="VHC34" s="515"/>
      <c r="VHD34" s="515"/>
      <c r="VHE34" s="515"/>
      <c r="VHF34" s="515"/>
      <c r="VHG34" s="515"/>
      <c r="VHH34" s="515"/>
      <c r="VHI34" s="514"/>
      <c r="VHJ34" s="515"/>
      <c r="VHK34" s="515"/>
      <c r="VHL34" s="515"/>
      <c r="VHM34" s="515"/>
      <c r="VHN34" s="515"/>
      <c r="VHO34" s="515"/>
      <c r="VHP34" s="515"/>
      <c r="VHQ34" s="514"/>
      <c r="VHR34" s="515"/>
      <c r="VHS34" s="515"/>
      <c r="VHT34" s="515"/>
      <c r="VHU34" s="515"/>
      <c r="VHV34" s="515"/>
      <c r="VHW34" s="515"/>
      <c r="VHX34" s="515"/>
      <c r="VHY34" s="514"/>
      <c r="VHZ34" s="515"/>
      <c r="VIA34" s="515"/>
      <c r="VIB34" s="515"/>
      <c r="VIC34" s="515"/>
      <c r="VID34" s="515"/>
      <c r="VIE34" s="515"/>
      <c r="VIF34" s="515"/>
      <c r="VIG34" s="514"/>
      <c r="VIH34" s="515"/>
      <c r="VII34" s="515"/>
      <c r="VIJ34" s="515"/>
      <c r="VIK34" s="515"/>
      <c r="VIL34" s="515"/>
      <c r="VIM34" s="515"/>
      <c r="VIN34" s="515"/>
      <c r="VIO34" s="514"/>
      <c r="VIP34" s="515"/>
      <c r="VIQ34" s="515"/>
      <c r="VIR34" s="515"/>
      <c r="VIS34" s="515"/>
      <c r="VIT34" s="515"/>
      <c r="VIU34" s="515"/>
      <c r="VIV34" s="515"/>
      <c r="VIW34" s="514"/>
      <c r="VIX34" s="515"/>
      <c r="VIY34" s="515"/>
      <c r="VIZ34" s="515"/>
      <c r="VJA34" s="515"/>
      <c r="VJB34" s="515"/>
      <c r="VJC34" s="515"/>
      <c r="VJD34" s="515"/>
      <c r="VJE34" s="514"/>
      <c r="VJF34" s="515"/>
      <c r="VJG34" s="515"/>
      <c r="VJH34" s="515"/>
      <c r="VJI34" s="515"/>
      <c r="VJJ34" s="515"/>
      <c r="VJK34" s="515"/>
      <c r="VJL34" s="515"/>
      <c r="VJM34" s="514"/>
      <c r="VJN34" s="515"/>
      <c r="VJO34" s="515"/>
      <c r="VJP34" s="515"/>
      <c r="VJQ34" s="515"/>
      <c r="VJR34" s="515"/>
      <c r="VJS34" s="515"/>
      <c r="VJT34" s="515"/>
      <c r="VJU34" s="514"/>
      <c r="VJV34" s="515"/>
      <c r="VJW34" s="515"/>
      <c r="VJX34" s="515"/>
      <c r="VJY34" s="515"/>
      <c r="VJZ34" s="515"/>
      <c r="VKA34" s="515"/>
      <c r="VKB34" s="515"/>
      <c r="VKC34" s="514"/>
      <c r="VKD34" s="515"/>
      <c r="VKE34" s="515"/>
      <c r="VKF34" s="515"/>
      <c r="VKG34" s="515"/>
      <c r="VKH34" s="515"/>
      <c r="VKI34" s="515"/>
      <c r="VKJ34" s="515"/>
      <c r="VKK34" s="514"/>
      <c r="VKL34" s="515"/>
      <c r="VKM34" s="515"/>
      <c r="VKN34" s="515"/>
      <c r="VKO34" s="515"/>
      <c r="VKP34" s="515"/>
      <c r="VKQ34" s="515"/>
      <c r="VKR34" s="515"/>
      <c r="VKS34" s="514"/>
      <c r="VKT34" s="515"/>
      <c r="VKU34" s="515"/>
      <c r="VKV34" s="515"/>
      <c r="VKW34" s="515"/>
      <c r="VKX34" s="515"/>
      <c r="VKY34" s="515"/>
      <c r="VKZ34" s="515"/>
      <c r="VLA34" s="514"/>
      <c r="VLB34" s="515"/>
      <c r="VLC34" s="515"/>
      <c r="VLD34" s="515"/>
      <c r="VLE34" s="515"/>
      <c r="VLF34" s="515"/>
      <c r="VLG34" s="515"/>
      <c r="VLH34" s="515"/>
      <c r="VLI34" s="514"/>
      <c r="VLJ34" s="515"/>
      <c r="VLK34" s="515"/>
      <c r="VLL34" s="515"/>
      <c r="VLM34" s="515"/>
      <c r="VLN34" s="515"/>
      <c r="VLO34" s="515"/>
      <c r="VLP34" s="515"/>
      <c r="VLQ34" s="514"/>
      <c r="VLR34" s="515"/>
      <c r="VLS34" s="515"/>
      <c r="VLT34" s="515"/>
      <c r="VLU34" s="515"/>
      <c r="VLV34" s="515"/>
      <c r="VLW34" s="515"/>
      <c r="VLX34" s="515"/>
      <c r="VLY34" s="514"/>
      <c r="VLZ34" s="515"/>
      <c r="VMA34" s="515"/>
      <c r="VMB34" s="515"/>
      <c r="VMC34" s="515"/>
      <c r="VMD34" s="515"/>
      <c r="VME34" s="515"/>
      <c r="VMF34" s="515"/>
      <c r="VMG34" s="514"/>
      <c r="VMH34" s="515"/>
      <c r="VMI34" s="515"/>
      <c r="VMJ34" s="515"/>
      <c r="VMK34" s="515"/>
      <c r="VML34" s="515"/>
      <c r="VMM34" s="515"/>
      <c r="VMN34" s="515"/>
      <c r="VMO34" s="514"/>
      <c r="VMP34" s="515"/>
      <c r="VMQ34" s="515"/>
      <c r="VMR34" s="515"/>
      <c r="VMS34" s="515"/>
      <c r="VMT34" s="515"/>
      <c r="VMU34" s="515"/>
      <c r="VMV34" s="515"/>
      <c r="VMW34" s="514"/>
      <c r="VMX34" s="515"/>
      <c r="VMY34" s="515"/>
      <c r="VMZ34" s="515"/>
      <c r="VNA34" s="515"/>
      <c r="VNB34" s="515"/>
      <c r="VNC34" s="515"/>
      <c r="VND34" s="515"/>
      <c r="VNE34" s="514"/>
      <c r="VNF34" s="515"/>
      <c r="VNG34" s="515"/>
      <c r="VNH34" s="515"/>
      <c r="VNI34" s="515"/>
      <c r="VNJ34" s="515"/>
      <c r="VNK34" s="515"/>
      <c r="VNL34" s="515"/>
      <c r="VNM34" s="514"/>
      <c r="VNN34" s="515"/>
      <c r="VNO34" s="515"/>
      <c r="VNP34" s="515"/>
      <c r="VNQ34" s="515"/>
      <c r="VNR34" s="515"/>
      <c r="VNS34" s="515"/>
      <c r="VNT34" s="515"/>
      <c r="VNU34" s="514"/>
      <c r="VNV34" s="515"/>
      <c r="VNW34" s="515"/>
      <c r="VNX34" s="515"/>
      <c r="VNY34" s="515"/>
      <c r="VNZ34" s="515"/>
      <c r="VOA34" s="515"/>
      <c r="VOB34" s="515"/>
      <c r="VOC34" s="514"/>
      <c r="VOD34" s="515"/>
      <c r="VOE34" s="515"/>
      <c r="VOF34" s="515"/>
      <c r="VOG34" s="515"/>
      <c r="VOH34" s="515"/>
      <c r="VOI34" s="515"/>
      <c r="VOJ34" s="515"/>
      <c r="VOK34" s="514"/>
      <c r="VOL34" s="515"/>
      <c r="VOM34" s="515"/>
      <c r="VON34" s="515"/>
      <c r="VOO34" s="515"/>
      <c r="VOP34" s="515"/>
      <c r="VOQ34" s="515"/>
      <c r="VOR34" s="515"/>
      <c r="VOS34" s="514"/>
      <c r="VOT34" s="515"/>
      <c r="VOU34" s="515"/>
      <c r="VOV34" s="515"/>
      <c r="VOW34" s="515"/>
      <c r="VOX34" s="515"/>
      <c r="VOY34" s="515"/>
      <c r="VOZ34" s="515"/>
      <c r="VPA34" s="514"/>
      <c r="VPB34" s="515"/>
      <c r="VPC34" s="515"/>
      <c r="VPD34" s="515"/>
      <c r="VPE34" s="515"/>
      <c r="VPF34" s="515"/>
      <c r="VPG34" s="515"/>
      <c r="VPH34" s="515"/>
      <c r="VPI34" s="514"/>
      <c r="VPJ34" s="515"/>
      <c r="VPK34" s="515"/>
      <c r="VPL34" s="515"/>
      <c r="VPM34" s="515"/>
      <c r="VPN34" s="515"/>
      <c r="VPO34" s="515"/>
      <c r="VPP34" s="515"/>
      <c r="VPQ34" s="514"/>
      <c r="VPR34" s="515"/>
      <c r="VPS34" s="515"/>
      <c r="VPT34" s="515"/>
      <c r="VPU34" s="515"/>
      <c r="VPV34" s="515"/>
      <c r="VPW34" s="515"/>
      <c r="VPX34" s="515"/>
      <c r="VPY34" s="514"/>
      <c r="VPZ34" s="515"/>
      <c r="VQA34" s="515"/>
      <c r="VQB34" s="515"/>
      <c r="VQC34" s="515"/>
      <c r="VQD34" s="515"/>
      <c r="VQE34" s="515"/>
      <c r="VQF34" s="515"/>
      <c r="VQG34" s="514"/>
      <c r="VQH34" s="515"/>
      <c r="VQI34" s="515"/>
      <c r="VQJ34" s="515"/>
      <c r="VQK34" s="515"/>
      <c r="VQL34" s="515"/>
      <c r="VQM34" s="515"/>
      <c r="VQN34" s="515"/>
      <c r="VQO34" s="514"/>
      <c r="VQP34" s="515"/>
      <c r="VQQ34" s="515"/>
      <c r="VQR34" s="515"/>
      <c r="VQS34" s="515"/>
      <c r="VQT34" s="515"/>
      <c r="VQU34" s="515"/>
      <c r="VQV34" s="515"/>
      <c r="VQW34" s="514"/>
      <c r="VQX34" s="515"/>
      <c r="VQY34" s="515"/>
      <c r="VQZ34" s="515"/>
      <c r="VRA34" s="515"/>
      <c r="VRB34" s="515"/>
      <c r="VRC34" s="515"/>
      <c r="VRD34" s="515"/>
      <c r="VRE34" s="514"/>
      <c r="VRF34" s="515"/>
      <c r="VRG34" s="515"/>
      <c r="VRH34" s="515"/>
      <c r="VRI34" s="515"/>
      <c r="VRJ34" s="515"/>
      <c r="VRK34" s="515"/>
      <c r="VRL34" s="515"/>
      <c r="VRM34" s="514"/>
      <c r="VRN34" s="515"/>
      <c r="VRO34" s="515"/>
      <c r="VRP34" s="515"/>
      <c r="VRQ34" s="515"/>
      <c r="VRR34" s="515"/>
      <c r="VRS34" s="515"/>
      <c r="VRT34" s="515"/>
      <c r="VRU34" s="514"/>
      <c r="VRV34" s="515"/>
      <c r="VRW34" s="515"/>
      <c r="VRX34" s="515"/>
      <c r="VRY34" s="515"/>
      <c r="VRZ34" s="515"/>
      <c r="VSA34" s="515"/>
      <c r="VSB34" s="515"/>
      <c r="VSC34" s="514"/>
      <c r="VSD34" s="515"/>
      <c r="VSE34" s="515"/>
      <c r="VSF34" s="515"/>
      <c r="VSG34" s="515"/>
      <c r="VSH34" s="515"/>
      <c r="VSI34" s="515"/>
      <c r="VSJ34" s="515"/>
      <c r="VSK34" s="514"/>
      <c r="VSL34" s="515"/>
      <c r="VSM34" s="515"/>
      <c r="VSN34" s="515"/>
      <c r="VSO34" s="515"/>
      <c r="VSP34" s="515"/>
      <c r="VSQ34" s="515"/>
      <c r="VSR34" s="515"/>
      <c r="VSS34" s="514"/>
      <c r="VST34" s="515"/>
      <c r="VSU34" s="515"/>
      <c r="VSV34" s="515"/>
      <c r="VSW34" s="515"/>
      <c r="VSX34" s="515"/>
      <c r="VSY34" s="515"/>
      <c r="VSZ34" s="515"/>
      <c r="VTA34" s="514"/>
      <c r="VTB34" s="515"/>
      <c r="VTC34" s="515"/>
      <c r="VTD34" s="515"/>
      <c r="VTE34" s="515"/>
      <c r="VTF34" s="515"/>
      <c r="VTG34" s="515"/>
      <c r="VTH34" s="515"/>
      <c r="VTI34" s="514"/>
      <c r="VTJ34" s="515"/>
      <c r="VTK34" s="515"/>
      <c r="VTL34" s="515"/>
      <c r="VTM34" s="515"/>
      <c r="VTN34" s="515"/>
      <c r="VTO34" s="515"/>
      <c r="VTP34" s="515"/>
      <c r="VTQ34" s="514"/>
      <c r="VTR34" s="515"/>
      <c r="VTS34" s="515"/>
      <c r="VTT34" s="515"/>
      <c r="VTU34" s="515"/>
      <c r="VTV34" s="515"/>
      <c r="VTW34" s="515"/>
      <c r="VTX34" s="515"/>
      <c r="VTY34" s="514"/>
      <c r="VTZ34" s="515"/>
      <c r="VUA34" s="515"/>
      <c r="VUB34" s="515"/>
      <c r="VUC34" s="515"/>
      <c r="VUD34" s="515"/>
      <c r="VUE34" s="515"/>
      <c r="VUF34" s="515"/>
      <c r="VUG34" s="514"/>
      <c r="VUH34" s="515"/>
      <c r="VUI34" s="515"/>
      <c r="VUJ34" s="515"/>
      <c r="VUK34" s="515"/>
      <c r="VUL34" s="515"/>
      <c r="VUM34" s="515"/>
      <c r="VUN34" s="515"/>
      <c r="VUO34" s="514"/>
      <c r="VUP34" s="515"/>
      <c r="VUQ34" s="515"/>
      <c r="VUR34" s="515"/>
      <c r="VUS34" s="515"/>
      <c r="VUT34" s="515"/>
      <c r="VUU34" s="515"/>
      <c r="VUV34" s="515"/>
      <c r="VUW34" s="514"/>
      <c r="VUX34" s="515"/>
      <c r="VUY34" s="515"/>
      <c r="VUZ34" s="515"/>
      <c r="VVA34" s="515"/>
      <c r="VVB34" s="515"/>
      <c r="VVC34" s="515"/>
      <c r="VVD34" s="515"/>
      <c r="VVE34" s="514"/>
      <c r="VVF34" s="515"/>
      <c r="VVG34" s="515"/>
      <c r="VVH34" s="515"/>
      <c r="VVI34" s="515"/>
      <c r="VVJ34" s="515"/>
      <c r="VVK34" s="515"/>
      <c r="VVL34" s="515"/>
      <c r="VVM34" s="514"/>
      <c r="VVN34" s="515"/>
      <c r="VVO34" s="515"/>
      <c r="VVP34" s="515"/>
      <c r="VVQ34" s="515"/>
      <c r="VVR34" s="515"/>
      <c r="VVS34" s="515"/>
      <c r="VVT34" s="515"/>
      <c r="VVU34" s="514"/>
      <c r="VVV34" s="515"/>
      <c r="VVW34" s="515"/>
      <c r="VVX34" s="515"/>
      <c r="VVY34" s="515"/>
      <c r="VVZ34" s="515"/>
      <c r="VWA34" s="515"/>
      <c r="VWB34" s="515"/>
      <c r="VWC34" s="514"/>
      <c r="VWD34" s="515"/>
      <c r="VWE34" s="515"/>
      <c r="VWF34" s="515"/>
      <c r="VWG34" s="515"/>
      <c r="VWH34" s="515"/>
      <c r="VWI34" s="515"/>
      <c r="VWJ34" s="515"/>
      <c r="VWK34" s="514"/>
      <c r="VWL34" s="515"/>
      <c r="VWM34" s="515"/>
      <c r="VWN34" s="515"/>
      <c r="VWO34" s="515"/>
      <c r="VWP34" s="515"/>
      <c r="VWQ34" s="515"/>
      <c r="VWR34" s="515"/>
      <c r="VWS34" s="514"/>
      <c r="VWT34" s="515"/>
      <c r="VWU34" s="515"/>
      <c r="VWV34" s="515"/>
      <c r="VWW34" s="515"/>
      <c r="VWX34" s="515"/>
      <c r="VWY34" s="515"/>
      <c r="VWZ34" s="515"/>
      <c r="VXA34" s="514"/>
      <c r="VXB34" s="515"/>
      <c r="VXC34" s="515"/>
      <c r="VXD34" s="515"/>
      <c r="VXE34" s="515"/>
      <c r="VXF34" s="515"/>
      <c r="VXG34" s="515"/>
      <c r="VXH34" s="515"/>
      <c r="VXI34" s="514"/>
      <c r="VXJ34" s="515"/>
      <c r="VXK34" s="515"/>
      <c r="VXL34" s="515"/>
      <c r="VXM34" s="515"/>
      <c r="VXN34" s="515"/>
      <c r="VXO34" s="515"/>
      <c r="VXP34" s="515"/>
      <c r="VXQ34" s="514"/>
      <c r="VXR34" s="515"/>
      <c r="VXS34" s="515"/>
      <c r="VXT34" s="515"/>
      <c r="VXU34" s="515"/>
      <c r="VXV34" s="515"/>
      <c r="VXW34" s="515"/>
      <c r="VXX34" s="515"/>
      <c r="VXY34" s="514"/>
      <c r="VXZ34" s="515"/>
      <c r="VYA34" s="515"/>
      <c r="VYB34" s="515"/>
      <c r="VYC34" s="515"/>
      <c r="VYD34" s="515"/>
      <c r="VYE34" s="515"/>
      <c r="VYF34" s="515"/>
      <c r="VYG34" s="514"/>
      <c r="VYH34" s="515"/>
      <c r="VYI34" s="515"/>
      <c r="VYJ34" s="515"/>
      <c r="VYK34" s="515"/>
      <c r="VYL34" s="515"/>
      <c r="VYM34" s="515"/>
      <c r="VYN34" s="515"/>
      <c r="VYO34" s="514"/>
      <c r="VYP34" s="515"/>
      <c r="VYQ34" s="515"/>
      <c r="VYR34" s="515"/>
      <c r="VYS34" s="515"/>
      <c r="VYT34" s="515"/>
      <c r="VYU34" s="515"/>
      <c r="VYV34" s="515"/>
      <c r="VYW34" s="514"/>
      <c r="VYX34" s="515"/>
      <c r="VYY34" s="515"/>
      <c r="VYZ34" s="515"/>
      <c r="VZA34" s="515"/>
      <c r="VZB34" s="515"/>
      <c r="VZC34" s="515"/>
      <c r="VZD34" s="515"/>
      <c r="VZE34" s="514"/>
      <c r="VZF34" s="515"/>
      <c r="VZG34" s="515"/>
      <c r="VZH34" s="515"/>
      <c r="VZI34" s="515"/>
      <c r="VZJ34" s="515"/>
      <c r="VZK34" s="515"/>
      <c r="VZL34" s="515"/>
      <c r="VZM34" s="514"/>
      <c r="VZN34" s="515"/>
      <c r="VZO34" s="515"/>
      <c r="VZP34" s="515"/>
      <c r="VZQ34" s="515"/>
      <c r="VZR34" s="515"/>
      <c r="VZS34" s="515"/>
      <c r="VZT34" s="515"/>
      <c r="VZU34" s="514"/>
      <c r="VZV34" s="515"/>
      <c r="VZW34" s="515"/>
      <c r="VZX34" s="515"/>
      <c r="VZY34" s="515"/>
      <c r="VZZ34" s="515"/>
      <c r="WAA34" s="515"/>
      <c r="WAB34" s="515"/>
      <c r="WAC34" s="514"/>
      <c r="WAD34" s="515"/>
      <c r="WAE34" s="515"/>
      <c r="WAF34" s="515"/>
      <c r="WAG34" s="515"/>
      <c r="WAH34" s="515"/>
      <c r="WAI34" s="515"/>
      <c r="WAJ34" s="515"/>
      <c r="WAK34" s="514"/>
      <c r="WAL34" s="515"/>
      <c r="WAM34" s="515"/>
      <c r="WAN34" s="515"/>
      <c r="WAO34" s="515"/>
      <c r="WAP34" s="515"/>
      <c r="WAQ34" s="515"/>
      <c r="WAR34" s="515"/>
      <c r="WAS34" s="514"/>
      <c r="WAT34" s="515"/>
      <c r="WAU34" s="515"/>
      <c r="WAV34" s="515"/>
      <c r="WAW34" s="515"/>
      <c r="WAX34" s="515"/>
      <c r="WAY34" s="515"/>
      <c r="WAZ34" s="515"/>
      <c r="WBA34" s="514"/>
      <c r="WBB34" s="515"/>
      <c r="WBC34" s="515"/>
      <c r="WBD34" s="515"/>
      <c r="WBE34" s="515"/>
      <c r="WBF34" s="515"/>
      <c r="WBG34" s="515"/>
      <c r="WBH34" s="515"/>
      <c r="WBI34" s="514"/>
      <c r="WBJ34" s="515"/>
      <c r="WBK34" s="515"/>
      <c r="WBL34" s="515"/>
      <c r="WBM34" s="515"/>
      <c r="WBN34" s="515"/>
      <c r="WBO34" s="515"/>
      <c r="WBP34" s="515"/>
      <c r="WBQ34" s="514"/>
      <c r="WBR34" s="515"/>
      <c r="WBS34" s="515"/>
      <c r="WBT34" s="515"/>
      <c r="WBU34" s="515"/>
      <c r="WBV34" s="515"/>
      <c r="WBW34" s="515"/>
      <c r="WBX34" s="515"/>
      <c r="WBY34" s="514"/>
      <c r="WBZ34" s="515"/>
      <c r="WCA34" s="515"/>
      <c r="WCB34" s="515"/>
      <c r="WCC34" s="515"/>
      <c r="WCD34" s="515"/>
      <c r="WCE34" s="515"/>
      <c r="WCF34" s="515"/>
      <c r="WCG34" s="514"/>
      <c r="WCH34" s="515"/>
      <c r="WCI34" s="515"/>
      <c r="WCJ34" s="515"/>
      <c r="WCK34" s="515"/>
      <c r="WCL34" s="515"/>
      <c r="WCM34" s="515"/>
      <c r="WCN34" s="515"/>
      <c r="WCO34" s="514"/>
      <c r="WCP34" s="515"/>
      <c r="WCQ34" s="515"/>
      <c r="WCR34" s="515"/>
      <c r="WCS34" s="515"/>
      <c r="WCT34" s="515"/>
      <c r="WCU34" s="515"/>
      <c r="WCV34" s="515"/>
      <c r="WCW34" s="514"/>
      <c r="WCX34" s="515"/>
      <c r="WCY34" s="515"/>
      <c r="WCZ34" s="515"/>
      <c r="WDA34" s="515"/>
      <c r="WDB34" s="515"/>
      <c r="WDC34" s="515"/>
      <c r="WDD34" s="515"/>
      <c r="WDE34" s="514"/>
      <c r="WDF34" s="515"/>
      <c r="WDG34" s="515"/>
      <c r="WDH34" s="515"/>
      <c r="WDI34" s="515"/>
      <c r="WDJ34" s="515"/>
      <c r="WDK34" s="515"/>
      <c r="WDL34" s="515"/>
      <c r="WDM34" s="514"/>
      <c r="WDN34" s="515"/>
      <c r="WDO34" s="515"/>
      <c r="WDP34" s="515"/>
      <c r="WDQ34" s="515"/>
      <c r="WDR34" s="515"/>
      <c r="WDS34" s="515"/>
      <c r="WDT34" s="515"/>
      <c r="WDU34" s="514"/>
      <c r="WDV34" s="515"/>
      <c r="WDW34" s="515"/>
      <c r="WDX34" s="515"/>
      <c r="WDY34" s="515"/>
      <c r="WDZ34" s="515"/>
      <c r="WEA34" s="515"/>
      <c r="WEB34" s="515"/>
      <c r="WEC34" s="514"/>
      <c r="WED34" s="515"/>
      <c r="WEE34" s="515"/>
      <c r="WEF34" s="515"/>
      <c r="WEG34" s="515"/>
      <c r="WEH34" s="515"/>
      <c r="WEI34" s="515"/>
      <c r="WEJ34" s="515"/>
      <c r="WEK34" s="514"/>
      <c r="WEL34" s="515"/>
      <c r="WEM34" s="515"/>
      <c r="WEN34" s="515"/>
      <c r="WEO34" s="515"/>
      <c r="WEP34" s="515"/>
      <c r="WEQ34" s="515"/>
      <c r="WER34" s="515"/>
      <c r="WES34" s="514"/>
      <c r="WET34" s="515"/>
      <c r="WEU34" s="515"/>
      <c r="WEV34" s="515"/>
      <c r="WEW34" s="515"/>
      <c r="WEX34" s="515"/>
      <c r="WEY34" s="515"/>
      <c r="WEZ34" s="515"/>
      <c r="WFA34" s="514"/>
      <c r="WFB34" s="515"/>
      <c r="WFC34" s="515"/>
      <c r="WFD34" s="515"/>
      <c r="WFE34" s="515"/>
      <c r="WFF34" s="515"/>
      <c r="WFG34" s="515"/>
      <c r="WFH34" s="515"/>
      <c r="WFI34" s="514"/>
      <c r="WFJ34" s="515"/>
      <c r="WFK34" s="515"/>
      <c r="WFL34" s="515"/>
      <c r="WFM34" s="515"/>
      <c r="WFN34" s="515"/>
      <c r="WFO34" s="515"/>
      <c r="WFP34" s="515"/>
      <c r="WFQ34" s="514"/>
      <c r="WFR34" s="515"/>
      <c r="WFS34" s="515"/>
      <c r="WFT34" s="515"/>
      <c r="WFU34" s="515"/>
      <c r="WFV34" s="515"/>
      <c r="WFW34" s="515"/>
      <c r="WFX34" s="515"/>
      <c r="WFY34" s="514"/>
      <c r="WFZ34" s="515"/>
      <c r="WGA34" s="515"/>
      <c r="WGB34" s="515"/>
      <c r="WGC34" s="515"/>
      <c r="WGD34" s="515"/>
      <c r="WGE34" s="515"/>
      <c r="WGF34" s="515"/>
      <c r="WGG34" s="514"/>
      <c r="WGH34" s="515"/>
      <c r="WGI34" s="515"/>
      <c r="WGJ34" s="515"/>
      <c r="WGK34" s="515"/>
      <c r="WGL34" s="515"/>
      <c r="WGM34" s="515"/>
      <c r="WGN34" s="515"/>
      <c r="WGO34" s="514"/>
      <c r="WGP34" s="515"/>
      <c r="WGQ34" s="515"/>
      <c r="WGR34" s="515"/>
      <c r="WGS34" s="515"/>
      <c r="WGT34" s="515"/>
      <c r="WGU34" s="515"/>
      <c r="WGV34" s="515"/>
      <c r="WGW34" s="514"/>
      <c r="WGX34" s="515"/>
      <c r="WGY34" s="515"/>
      <c r="WGZ34" s="515"/>
      <c r="WHA34" s="515"/>
      <c r="WHB34" s="515"/>
      <c r="WHC34" s="515"/>
      <c r="WHD34" s="515"/>
      <c r="WHE34" s="514"/>
      <c r="WHF34" s="515"/>
      <c r="WHG34" s="515"/>
      <c r="WHH34" s="515"/>
      <c r="WHI34" s="515"/>
      <c r="WHJ34" s="515"/>
      <c r="WHK34" s="515"/>
      <c r="WHL34" s="515"/>
      <c r="WHM34" s="514"/>
      <c r="WHN34" s="515"/>
      <c r="WHO34" s="515"/>
      <c r="WHP34" s="515"/>
      <c r="WHQ34" s="515"/>
      <c r="WHR34" s="515"/>
      <c r="WHS34" s="515"/>
      <c r="WHT34" s="515"/>
      <c r="WHU34" s="514"/>
      <c r="WHV34" s="515"/>
      <c r="WHW34" s="515"/>
      <c r="WHX34" s="515"/>
      <c r="WHY34" s="515"/>
      <c r="WHZ34" s="515"/>
      <c r="WIA34" s="515"/>
      <c r="WIB34" s="515"/>
      <c r="WIC34" s="514"/>
      <c r="WID34" s="515"/>
      <c r="WIE34" s="515"/>
      <c r="WIF34" s="515"/>
      <c r="WIG34" s="515"/>
      <c r="WIH34" s="515"/>
      <c r="WII34" s="515"/>
      <c r="WIJ34" s="515"/>
      <c r="WIK34" s="514"/>
      <c r="WIL34" s="515"/>
      <c r="WIM34" s="515"/>
      <c r="WIN34" s="515"/>
      <c r="WIO34" s="515"/>
      <c r="WIP34" s="515"/>
      <c r="WIQ34" s="515"/>
      <c r="WIR34" s="515"/>
      <c r="WIS34" s="514"/>
      <c r="WIT34" s="515"/>
      <c r="WIU34" s="515"/>
      <c r="WIV34" s="515"/>
      <c r="WIW34" s="515"/>
      <c r="WIX34" s="515"/>
      <c r="WIY34" s="515"/>
      <c r="WIZ34" s="515"/>
      <c r="WJA34" s="514"/>
      <c r="WJB34" s="515"/>
      <c r="WJC34" s="515"/>
      <c r="WJD34" s="515"/>
      <c r="WJE34" s="515"/>
      <c r="WJF34" s="515"/>
      <c r="WJG34" s="515"/>
      <c r="WJH34" s="515"/>
      <c r="WJI34" s="514"/>
      <c r="WJJ34" s="515"/>
      <c r="WJK34" s="515"/>
      <c r="WJL34" s="515"/>
      <c r="WJM34" s="515"/>
      <c r="WJN34" s="515"/>
      <c r="WJO34" s="515"/>
      <c r="WJP34" s="515"/>
      <c r="WJQ34" s="514"/>
      <c r="WJR34" s="515"/>
      <c r="WJS34" s="515"/>
      <c r="WJT34" s="515"/>
      <c r="WJU34" s="515"/>
      <c r="WJV34" s="515"/>
      <c r="WJW34" s="515"/>
      <c r="WJX34" s="515"/>
      <c r="WJY34" s="514"/>
      <c r="WJZ34" s="515"/>
      <c r="WKA34" s="515"/>
      <c r="WKB34" s="515"/>
      <c r="WKC34" s="515"/>
      <c r="WKD34" s="515"/>
      <c r="WKE34" s="515"/>
      <c r="WKF34" s="515"/>
      <c r="WKG34" s="514"/>
      <c r="WKH34" s="515"/>
      <c r="WKI34" s="515"/>
      <c r="WKJ34" s="515"/>
      <c r="WKK34" s="515"/>
      <c r="WKL34" s="515"/>
      <c r="WKM34" s="515"/>
      <c r="WKN34" s="515"/>
      <c r="WKO34" s="514"/>
      <c r="WKP34" s="515"/>
      <c r="WKQ34" s="515"/>
      <c r="WKR34" s="515"/>
      <c r="WKS34" s="515"/>
      <c r="WKT34" s="515"/>
      <c r="WKU34" s="515"/>
      <c r="WKV34" s="515"/>
      <c r="WKW34" s="514"/>
      <c r="WKX34" s="515"/>
      <c r="WKY34" s="515"/>
      <c r="WKZ34" s="515"/>
      <c r="WLA34" s="515"/>
      <c r="WLB34" s="515"/>
      <c r="WLC34" s="515"/>
      <c r="WLD34" s="515"/>
      <c r="WLE34" s="514"/>
      <c r="WLF34" s="515"/>
      <c r="WLG34" s="515"/>
      <c r="WLH34" s="515"/>
      <c r="WLI34" s="515"/>
      <c r="WLJ34" s="515"/>
      <c r="WLK34" s="515"/>
      <c r="WLL34" s="515"/>
      <c r="WLM34" s="514"/>
      <c r="WLN34" s="515"/>
      <c r="WLO34" s="515"/>
      <c r="WLP34" s="515"/>
      <c r="WLQ34" s="515"/>
      <c r="WLR34" s="515"/>
      <c r="WLS34" s="515"/>
      <c r="WLT34" s="515"/>
      <c r="WLU34" s="514"/>
      <c r="WLV34" s="515"/>
      <c r="WLW34" s="515"/>
      <c r="WLX34" s="515"/>
      <c r="WLY34" s="515"/>
      <c r="WLZ34" s="515"/>
      <c r="WMA34" s="515"/>
      <c r="WMB34" s="515"/>
      <c r="WMC34" s="514"/>
      <c r="WMD34" s="515"/>
      <c r="WME34" s="515"/>
      <c r="WMF34" s="515"/>
      <c r="WMG34" s="515"/>
      <c r="WMH34" s="515"/>
      <c r="WMI34" s="515"/>
      <c r="WMJ34" s="515"/>
      <c r="WMK34" s="514"/>
      <c r="WML34" s="515"/>
      <c r="WMM34" s="515"/>
      <c r="WMN34" s="515"/>
      <c r="WMO34" s="515"/>
      <c r="WMP34" s="515"/>
      <c r="WMQ34" s="515"/>
      <c r="WMR34" s="515"/>
      <c r="WMS34" s="514"/>
      <c r="WMT34" s="515"/>
      <c r="WMU34" s="515"/>
      <c r="WMV34" s="515"/>
      <c r="WMW34" s="515"/>
      <c r="WMX34" s="515"/>
      <c r="WMY34" s="515"/>
      <c r="WMZ34" s="515"/>
      <c r="WNA34" s="514"/>
      <c r="WNB34" s="515"/>
      <c r="WNC34" s="515"/>
      <c r="WND34" s="515"/>
      <c r="WNE34" s="515"/>
      <c r="WNF34" s="515"/>
      <c r="WNG34" s="515"/>
      <c r="WNH34" s="515"/>
      <c r="WNI34" s="514"/>
      <c r="WNJ34" s="515"/>
      <c r="WNK34" s="515"/>
      <c r="WNL34" s="515"/>
      <c r="WNM34" s="515"/>
      <c r="WNN34" s="515"/>
      <c r="WNO34" s="515"/>
      <c r="WNP34" s="515"/>
      <c r="WNQ34" s="514"/>
      <c r="WNR34" s="515"/>
      <c r="WNS34" s="515"/>
      <c r="WNT34" s="515"/>
      <c r="WNU34" s="515"/>
      <c r="WNV34" s="515"/>
      <c r="WNW34" s="515"/>
      <c r="WNX34" s="515"/>
      <c r="WNY34" s="514"/>
      <c r="WNZ34" s="515"/>
      <c r="WOA34" s="515"/>
      <c r="WOB34" s="515"/>
      <c r="WOC34" s="515"/>
      <c r="WOD34" s="515"/>
      <c r="WOE34" s="515"/>
      <c r="WOF34" s="515"/>
      <c r="WOG34" s="514"/>
      <c r="WOH34" s="515"/>
      <c r="WOI34" s="515"/>
      <c r="WOJ34" s="515"/>
      <c r="WOK34" s="515"/>
      <c r="WOL34" s="515"/>
      <c r="WOM34" s="515"/>
      <c r="WON34" s="515"/>
      <c r="WOO34" s="514"/>
      <c r="WOP34" s="515"/>
      <c r="WOQ34" s="515"/>
      <c r="WOR34" s="515"/>
      <c r="WOS34" s="515"/>
      <c r="WOT34" s="515"/>
      <c r="WOU34" s="515"/>
      <c r="WOV34" s="515"/>
      <c r="WOW34" s="514"/>
      <c r="WOX34" s="515"/>
      <c r="WOY34" s="515"/>
      <c r="WOZ34" s="515"/>
      <c r="WPA34" s="515"/>
      <c r="WPB34" s="515"/>
      <c r="WPC34" s="515"/>
      <c r="WPD34" s="515"/>
      <c r="WPE34" s="514"/>
      <c r="WPF34" s="515"/>
      <c r="WPG34" s="515"/>
      <c r="WPH34" s="515"/>
      <c r="WPI34" s="515"/>
      <c r="WPJ34" s="515"/>
      <c r="WPK34" s="515"/>
      <c r="WPL34" s="515"/>
      <c r="WPM34" s="514"/>
      <c r="WPN34" s="515"/>
      <c r="WPO34" s="515"/>
      <c r="WPP34" s="515"/>
      <c r="WPQ34" s="515"/>
      <c r="WPR34" s="515"/>
      <c r="WPS34" s="515"/>
      <c r="WPT34" s="515"/>
      <c r="WPU34" s="514"/>
      <c r="WPV34" s="515"/>
      <c r="WPW34" s="515"/>
      <c r="WPX34" s="515"/>
      <c r="WPY34" s="515"/>
      <c r="WPZ34" s="515"/>
      <c r="WQA34" s="515"/>
      <c r="WQB34" s="515"/>
      <c r="WQC34" s="514"/>
      <c r="WQD34" s="515"/>
      <c r="WQE34" s="515"/>
      <c r="WQF34" s="515"/>
      <c r="WQG34" s="515"/>
      <c r="WQH34" s="515"/>
      <c r="WQI34" s="515"/>
      <c r="WQJ34" s="515"/>
      <c r="WQK34" s="514"/>
      <c r="WQL34" s="515"/>
      <c r="WQM34" s="515"/>
      <c r="WQN34" s="515"/>
      <c r="WQO34" s="515"/>
      <c r="WQP34" s="515"/>
      <c r="WQQ34" s="515"/>
      <c r="WQR34" s="515"/>
      <c r="WQS34" s="514"/>
      <c r="WQT34" s="515"/>
      <c r="WQU34" s="515"/>
      <c r="WQV34" s="515"/>
      <c r="WQW34" s="515"/>
      <c r="WQX34" s="515"/>
      <c r="WQY34" s="515"/>
      <c r="WQZ34" s="515"/>
      <c r="WRA34" s="514"/>
      <c r="WRB34" s="515"/>
      <c r="WRC34" s="515"/>
      <c r="WRD34" s="515"/>
      <c r="WRE34" s="515"/>
      <c r="WRF34" s="515"/>
      <c r="WRG34" s="515"/>
      <c r="WRH34" s="515"/>
      <c r="WRI34" s="514"/>
      <c r="WRJ34" s="515"/>
      <c r="WRK34" s="515"/>
      <c r="WRL34" s="515"/>
      <c r="WRM34" s="515"/>
      <c r="WRN34" s="515"/>
      <c r="WRO34" s="515"/>
      <c r="WRP34" s="515"/>
      <c r="WRQ34" s="514"/>
      <c r="WRR34" s="515"/>
      <c r="WRS34" s="515"/>
      <c r="WRT34" s="515"/>
      <c r="WRU34" s="515"/>
      <c r="WRV34" s="515"/>
      <c r="WRW34" s="515"/>
      <c r="WRX34" s="515"/>
      <c r="WRY34" s="514"/>
      <c r="WRZ34" s="515"/>
      <c r="WSA34" s="515"/>
      <c r="WSB34" s="515"/>
      <c r="WSC34" s="515"/>
      <c r="WSD34" s="515"/>
      <c r="WSE34" s="515"/>
      <c r="WSF34" s="515"/>
      <c r="WSG34" s="514"/>
      <c r="WSH34" s="515"/>
      <c r="WSI34" s="515"/>
      <c r="WSJ34" s="515"/>
      <c r="WSK34" s="515"/>
      <c r="WSL34" s="515"/>
      <c r="WSM34" s="515"/>
      <c r="WSN34" s="515"/>
      <c r="WSO34" s="514"/>
      <c r="WSP34" s="515"/>
      <c r="WSQ34" s="515"/>
      <c r="WSR34" s="515"/>
      <c r="WSS34" s="515"/>
      <c r="WST34" s="515"/>
      <c r="WSU34" s="515"/>
      <c r="WSV34" s="515"/>
      <c r="WSW34" s="514"/>
      <c r="WSX34" s="515"/>
      <c r="WSY34" s="515"/>
      <c r="WSZ34" s="515"/>
      <c r="WTA34" s="515"/>
      <c r="WTB34" s="515"/>
      <c r="WTC34" s="515"/>
      <c r="WTD34" s="515"/>
      <c r="WTE34" s="514"/>
      <c r="WTF34" s="515"/>
      <c r="WTG34" s="515"/>
      <c r="WTH34" s="515"/>
      <c r="WTI34" s="515"/>
      <c r="WTJ34" s="515"/>
      <c r="WTK34" s="515"/>
      <c r="WTL34" s="515"/>
      <c r="WTM34" s="514"/>
      <c r="WTN34" s="515"/>
      <c r="WTO34" s="515"/>
      <c r="WTP34" s="515"/>
      <c r="WTQ34" s="515"/>
      <c r="WTR34" s="515"/>
      <c r="WTS34" s="515"/>
      <c r="WTT34" s="515"/>
      <c r="WTU34" s="514"/>
      <c r="WTV34" s="515"/>
      <c r="WTW34" s="515"/>
      <c r="WTX34" s="515"/>
      <c r="WTY34" s="515"/>
      <c r="WTZ34" s="515"/>
      <c r="WUA34" s="515"/>
      <c r="WUB34" s="515"/>
      <c r="WUC34" s="514"/>
      <c r="WUD34" s="515"/>
      <c r="WUE34" s="515"/>
      <c r="WUF34" s="515"/>
      <c r="WUG34" s="515"/>
      <c r="WUH34" s="515"/>
      <c r="WUI34" s="515"/>
      <c r="WUJ34" s="515"/>
      <c r="WUK34" s="514"/>
      <c r="WUL34" s="515"/>
      <c r="WUM34" s="515"/>
      <c r="WUN34" s="515"/>
      <c r="WUO34" s="515"/>
      <c r="WUP34" s="515"/>
      <c r="WUQ34" s="515"/>
      <c r="WUR34" s="515"/>
      <c r="WUS34" s="514"/>
      <c r="WUT34" s="515"/>
      <c r="WUU34" s="515"/>
      <c r="WUV34" s="515"/>
      <c r="WUW34" s="515"/>
      <c r="WUX34" s="515"/>
      <c r="WUY34" s="515"/>
      <c r="WUZ34" s="515"/>
      <c r="WVA34" s="514"/>
      <c r="WVB34" s="515"/>
      <c r="WVC34" s="515"/>
      <c r="WVD34" s="515"/>
      <c r="WVE34" s="515"/>
      <c r="WVF34" s="515"/>
      <c r="WVG34" s="515"/>
      <c r="WVH34" s="515"/>
      <c r="WVI34" s="514"/>
      <c r="WVJ34" s="515"/>
      <c r="WVK34" s="515"/>
      <c r="WVL34" s="515"/>
      <c r="WVM34" s="515"/>
      <c r="WVN34" s="515"/>
      <c r="WVO34" s="515"/>
      <c r="WVP34" s="515"/>
      <c r="WVQ34" s="514"/>
      <c r="WVR34" s="515"/>
      <c r="WVS34" s="515"/>
      <c r="WVT34" s="515"/>
      <c r="WVU34" s="515"/>
      <c r="WVV34" s="515"/>
      <c r="WVW34" s="515"/>
      <c r="WVX34" s="515"/>
      <c r="WVY34" s="514"/>
      <c r="WVZ34" s="515"/>
      <c r="WWA34" s="515"/>
      <c r="WWB34" s="515"/>
      <c r="WWC34" s="515"/>
      <c r="WWD34" s="515"/>
      <c r="WWE34" s="515"/>
      <c r="WWF34" s="515"/>
      <c r="WWG34" s="514"/>
      <c r="WWH34" s="515"/>
      <c r="WWI34" s="515"/>
      <c r="WWJ34" s="515"/>
      <c r="WWK34" s="515"/>
      <c r="WWL34" s="515"/>
      <c r="WWM34" s="515"/>
      <c r="WWN34" s="515"/>
      <c r="WWO34" s="514"/>
      <c r="WWP34" s="515"/>
      <c r="WWQ34" s="515"/>
      <c r="WWR34" s="515"/>
      <c r="WWS34" s="515"/>
      <c r="WWT34" s="515"/>
      <c r="WWU34" s="515"/>
      <c r="WWV34" s="515"/>
      <c r="WWW34" s="514"/>
      <c r="WWX34" s="515"/>
      <c r="WWY34" s="515"/>
      <c r="WWZ34" s="515"/>
      <c r="WXA34" s="515"/>
      <c r="WXB34" s="515"/>
      <c r="WXC34" s="515"/>
      <c r="WXD34" s="515"/>
      <c r="WXE34" s="514"/>
      <c r="WXF34" s="515"/>
      <c r="WXG34" s="515"/>
      <c r="WXH34" s="515"/>
      <c r="WXI34" s="515"/>
      <c r="WXJ34" s="515"/>
      <c r="WXK34" s="515"/>
      <c r="WXL34" s="515"/>
      <c r="WXM34" s="514"/>
      <c r="WXN34" s="515"/>
      <c r="WXO34" s="515"/>
      <c r="WXP34" s="515"/>
      <c r="WXQ34" s="515"/>
      <c r="WXR34" s="515"/>
      <c r="WXS34" s="515"/>
      <c r="WXT34" s="515"/>
      <c r="WXU34" s="514"/>
      <c r="WXV34" s="515"/>
      <c r="WXW34" s="515"/>
      <c r="WXX34" s="515"/>
      <c r="WXY34" s="515"/>
      <c r="WXZ34" s="515"/>
      <c r="WYA34" s="515"/>
      <c r="WYB34" s="515"/>
      <c r="WYC34" s="514"/>
      <c r="WYD34" s="515"/>
      <c r="WYE34" s="515"/>
      <c r="WYF34" s="515"/>
      <c r="WYG34" s="515"/>
      <c r="WYH34" s="515"/>
      <c r="WYI34" s="515"/>
      <c r="WYJ34" s="515"/>
      <c r="WYK34" s="514"/>
      <c r="WYL34" s="515"/>
      <c r="WYM34" s="515"/>
      <c r="WYN34" s="515"/>
      <c r="WYO34" s="515"/>
      <c r="WYP34" s="515"/>
      <c r="WYQ34" s="515"/>
      <c r="WYR34" s="515"/>
      <c r="WYS34" s="514"/>
      <c r="WYT34" s="515"/>
      <c r="WYU34" s="515"/>
      <c r="WYV34" s="515"/>
      <c r="WYW34" s="515"/>
      <c r="WYX34" s="515"/>
      <c r="WYY34" s="515"/>
      <c r="WYZ34" s="515"/>
      <c r="WZA34" s="514"/>
      <c r="WZB34" s="515"/>
      <c r="WZC34" s="515"/>
      <c r="WZD34" s="515"/>
      <c r="WZE34" s="515"/>
      <c r="WZF34" s="515"/>
      <c r="WZG34" s="515"/>
      <c r="WZH34" s="515"/>
      <c r="WZI34" s="514"/>
      <c r="WZJ34" s="515"/>
      <c r="WZK34" s="515"/>
      <c r="WZL34" s="515"/>
      <c r="WZM34" s="515"/>
      <c r="WZN34" s="515"/>
      <c r="WZO34" s="515"/>
      <c r="WZP34" s="515"/>
      <c r="WZQ34" s="514"/>
      <c r="WZR34" s="515"/>
      <c r="WZS34" s="515"/>
      <c r="WZT34" s="515"/>
      <c r="WZU34" s="515"/>
      <c r="WZV34" s="515"/>
      <c r="WZW34" s="515"/>
      <c r="WZX34" s="515"/>
      <c r="WZY34" s="514"/>
      <c r="WZZ34" s="515"/>
      <c r="XAA34" s="515"/>
      <c r="XAB34" s="515"/>
      <c r="XAC34" s="515"/>
      <c r="XAD34" s="515"/>
      <c r="XAE34" s="515"/>
      <c r="XAF34" s="515"/>
      <c r="XAG34" s="514"/>
      <c r="XAH34" s="515"/>
      <c r="XAI34" s="515"/>
      <c r="XAJ34" s="515"/>
      <c r="XAK34" s="515"/>
      <c r="XAL34" s="515"/>
      <c r="XAM34" s="515"/>
      <c r="XAN34" s="515"/>
      <c r="XAO34" s="514"/>
      <c r="XAP34" s="515"/>
      <c r="XAQ34" s="515"/>
      <c r="XAR34" s="515"/>
      <c r="XAS34" s="515"/>
      <c r="XAT34" s="515"/>
      <c r="XAU34" s="515"/>
      <c r="XAV34" s="515"/>
      <c r="XAW34" s="514"/>
      <c r="XAX34" s="515"/>
      <c r="XAY34" s="515"/>
      <c r="XAZ34" s="515"/>
      <c r="XBA34" s="515"/>
      <c r="XBB34" s="515"/>
      <c r="XBC34" s="515"/>
      <c r="XBD34" s="515"/>
      <c r="XBE34" s="514"/>
      <c r="XBF34" s="515"/>
      <c r="XBG34" s="515"/>
      <c r="XBH34" s="515"/>
      <c r="XBI34" s="515"/>
      <c r="XBJ34" s="515"/>
      <c r="XBK34" s="515"/>
      <c r="XBL34" s="515"/>
      <c r="XBM34" s="514"/>
      <c r="XBN34" s="515"/>
      <c r="XBO34" s="515"/>
      <c r="XBP34" s="515"/>
      <c r="XBQ34" s="515"/>
      <c r="XBR34" s="515"/>
      <c r="XBS34" s="515"/>
      <c r="XBT34" s="515"/>
      <c r="XBU34" s="514"/>
      <c r="XBV34" s="515"/>
      <c r="XBW34" s="515"/>
      <c r="XBX34" s="515"/>
      <c r="XBY34" s="515"/>
      <c r="XBZ34" s="515"/>
      <c r="XCA34" s="515"/>
      <c r="XCB34" s="515"/>
      <c r="XCC34" s="514"/>
      <c r="XCD34" s="515"/>
      <c r="XCE34" s="515"/>
      <c r="XCF34" s="515"/>
      <c r="XCG34" s="515"/>
      <c r="XCH34" s="515"/>
      <c r="XCI34" s="515"/>
      <c r="XCJ34" s="515"/>
      <c r="XCK34" s="514"/>
      <c r="XCL34" s="515"/>
      <c r="XCM34" s="515"/>
      <c r="XCN34" s="515"/>
      <c r="XCO34" s="515"/>
      <c r="XCP34" s="515"/>
      <c r="XCQ34" s="515"/>
      <c r="XCR34" s="515"/>
      <c r="XCS34" s="514"/>
      <c r="XCT34" s="515"/>
      <c r="XCU34" s="515"/>
      <c r="XCV34" s="515"/>
      <c r="XCW34" s="515"/>
      <c r="XCX34" s="515"/>
      <c r="XCY34" s="515"/>
      <c r="XCZ34" s="515"/>
      <c r="XDA34" s="514"/>
      <c r="XDB34" s="515"/>
      <c r="XDC34" s="515"/>
      <c r="XDD34" s="515"/>
      <c r="XDE34" s="515"/>
      <c r="XDF34" s="515"/>
      <c r="XDG34" s="515"/>
      <c r="XDH34" s="515"/>
      <c r="XDI34" s="514"/>
      <c r="XDJ34" s="515"/>
      <c r="XDK34" s="515"/>
      <c r="XDL34" s="515"/>
      <c r="XDM34" s="515"/>
      <c r="XDN34" s="515"/>
      <c r="XDO34" s="515"/>
      <c r="XDP34" s="515"/>
      <c r="XDQ34" s="514"/>
      <c r="XDR34" s="515"/>
      <c r="XDS34" s="515"/>
      <c r="XDT34" s="515"/>
      <c r="XDU34" s="515"/>
      <c r="XDV34" s="515"/>
      <c r="XDW34" s="515"/>
      <c r="XDX34" s="515"/>
      <c r="XDY34" s="514"/>
      <c r="XDZ34" s="515"/>
      <c r="XEA34" s="515"/>
      <c r="XEB34" s="515"/>
      <c r="XEC34" s="515"/>
      <c r="XED34" s="515"/>
      <c r="XEE34" s="515"/>
      <c r="XEF34" s="515"/>
      <c r="XEG34" s="514"/>
      <c r="XEH34" s="515"/>
      <c r="XEI34" s="515"/>
      <c r="XEJ34" s="515"/>
      <c r="XEK34" s="515"/>
      <c r="XEL34" s="515"/>
      <c r="XEM34" s="515"/>
      <c r="XEN34" s="515"/>
      <c r="XEO34" s="514"/>
      <c r="XEP34" s="515"/>
      <c r="XEQ34" s="515"/>
      <c r="XER34" s="515"/>
      <c r="XES34" s="515"/>
      <c r="XET34" s="515"/>
      <c r="XEU34" s="515"/>
      <c r="XEV34" s="515"/>
      <c r="XEW34" s="514"/>
      <c r="XEX34" s="514"/>
      <c r="XEY34" s="514"/>
      <c r="XEZ34" s="514"/>
      <c r="XFA34" s="514"/>
      <c r="XFB34" s="514"/>
      <c r="XFC34" s="514"/>
      <c r="XFD34" s="514"/>
    </row>
    <row r="35" spans="1:16384" customFormat="1" ht="18.75" customHeight="1">
      <c r="A35" s="491" t="s">
        <v>2033</v>
      </c>
      <c r="B35" s="491"/>
      <c r="C35" s="491" t="s">
        <v>134</v>
      </c>
      <c r="D35" s="491"/>
      <c r="E35" s="491"/>
      <c r="F35" s="257" t="s">
        <v>2297</v>
      </c>
      <c r="G35" s="257" t="s">
        <v>2034</v>
      </c>
      <c r="H35" s="258" t="s">
        <v>138</v>
      </c>
    </row>
    <row r="36" spans="1:16384" customFormat="1" ht="18.75" customHeight="1">
      <c r="A36" s="473"/>
      <c r="B36" s="473"/>
      <c r="C36" s="473"/>
      <c r="D36" s="473"/>
      <c r="E36" s="473"/>
      <c r="F36" s="258"/>
      <c r="G36" s="258"/>
      <c r="H36" s="258"/>
    </row>
    <row r="37" spans="1:16384" customFormat="1" ht="18.75" customHeight="1">
      <c r="A37" s="491" t="s">
        <v>2035</v>
      </c>
      <c r="B37" s="491"/>
      <c r="C37" s="491"/>
      <c r="D37" s="491"/>
      <c r="E37" s="491"/>
      <c r="F37" s="491"/>
      <c r="G37" s="491"/>
      <c r="H37" s="491"/>
    </row>
    <row r="38" spans="1:16384" ht="19.5" customHeight="1">
      <c r="A38" s="491" t="s">
        <v>2033</v>
      </c>
      <c r="B38" s="491"/>
      <c r="C38" s="491" t="s">
        <v>134</v>
      </c>
      <c r="D38" s="491"/>
      <c r="E38" s="491"/>
      <c r="F38" s="257" t="s">
        <v>2297</v>
      </c>
      <c r="G38" s="257" t="s">
        <v>2034</v>
      </c>
      <c r="H38" s="258" t="s">
        <v>138</v>
      </c>
    </row>
    <row r="39" spans="1:16384" customFormat="1" ht="19.5" customHeight="1">
      <c r="A39" s="473"/>
      <c r="B39" s="473"/>
      <c r="C39" s="473"/>
      <c r="D39" s="473"/>
      <c r="E39" s="473"/>
      <c r="F39" s="257"/>
      <c r="G39" s="257"/>
      <c r="H39" s="258"/>
    </row>
    <row r="40" spans="1:16384" ht="21" customHeight="1">
      <c r="A40" s="471" t="s">
        <v>1382</v>
      </c>
      <c r="B40" s="471"/>
      <c r="C40" s="471"/>
      <c r="D40" s="471"/>
      <c r="E40" s="471"/>
      <c r="F40" s="471"/>
      <c r="G40" s="471"/>
      <c r="H40" s="471"/>
    </row>
    <row r="41" spans="1:16384" ht="19.5" customHeight="1">
      <c r="A41" s="466" t="s">
        <v>2327</v>
      </c>
      <c r="B41" s="467"/>
      <c r="C41" s="467"/>
      <c r="D41" s="467"/>
      <c r="E41" s="467"/>
      <c r="F41" s="467"/>
      <c r="G41" s="502" t="s">
        <v>2333</v>
      </c>
      <c r="H41" s="503"/>
    </row>
    <row r="42" spans="1:16384" customFormat="1" ht="39.75" customHeight="1">
      <c r="A42" s="497" t="s">
        <v>2146</v>
      </c>
      <c r="B42" s="497"/>
      <c r="C42" s="497"/>
      <c r="D42" s="497"/>
      <c r="E42" s="497"/>
      <c r="F42" s="497"/>
      <c r="G42" s="497"/>
      <c r="H42" s="497"/>
    </row>
    <row r="43" spans="1:16384" customFormat="1" ht="18.75" customHeight="1">
      <c r="A43" s="278" t="s">
        <v>2147</v>
      </c>
      <c r="B43" s="500" t="s">
        <v>2334</v>
      </c>
      <c r="C43" s="500"/>
      <c r="D43" s="500"/>
      <c r="E43" s="500"/>
      <c r="F43" s="278" t="s">
        <v>2335</v>
      </c>
      <c r="G43" s="500"/>
      <c r="H43" s="500"/>
    </row>
    <row r="44" spans="1:16384" customFormat="1" ht="18.75" customHeight="1">
      <c r="A44" s="276" t="s">
        <v>96</v>
      </c>
      <c r="B44" s="482"/>
      <c r="C44" s="482"/>
      <c r="D44" s="482"/>
      <c r="E44" s="276" t="s">
        <v>97</v>
      </c>
      <c r="F44" s="277"/>
      <c r="G44" s="276" t="s">
        <v>98</v>
      </c>
      <c r="H44" s="277"/>
    </row>
    <row r="45" spans="1:16384" customFormat="1" ht="18.75" customHeight="1">
      <c r="A45" s="252" t="s">
        <v>2030</v>
      </c>
      <c r="B45" s="477"/>
      <c r="C45" s="477"/>
      <c r="D45" s="477"/>
      <c r="E45" s="252" t="s">
        <v>100</v>
      </c>
      <c r="F45" s="477"/>
      <c r="G45" s="477"/>
      <c r="H45" s="477"/>
    </row>
    <row r="46" spans="1:16384" customFormat="1" ht="18.75" customHeight="1">
      <c r="A46" s="252" t="s">
        <v>101</v>
      </c>
      <c r="B46" s="477"/>
      <c r="C46" s="477"/>
      <c r="D46" s="477"/>
      <c r="E46" s="477"/>
      <c r="F46" s="252" t="s">
        <v>102</v>
      </c>
      <c r="G46" s="483"/>
      <c r="H46" s="483"/>
    </row>
    <row r="47" spans="1:16384" customFormat="1" ht="18.75" customHeight="1">
      <c r="A47" s="252" t="s">
        <v>103</v>
      </c>
      <c r="B47" s="477"/>
      <c r="C47" s="477"/>
      <c r="D47" s="477"/>
      <c r="E47" s="477"/>
      <c r="F47" s="252" t="s">
        <v>1768</v>
      </c>
      <c r="G47" s="475"/>
      <c r="H47" s="475"/>
    </row>
    <row r="48" spans="1:16384" customFormat="1" ht="18.75" customHeight="1">
      <c r="A48" s="252" t="s">
        <v>105</v>
      </c>
      <c r="B48" s="476"/>
      <c r="C48" s="476"/>
      <c r="D48" s="476"/>
      <c r="E48" s="476"/>
      <c r="F48" s="252" t="s">
        <v>106</v>
      </c>
      <c r="G48" s="475"/>
      <c r="H48" s="475"/>
    </row>
    <row r="49" spans="1:8" ht="18.75" customHeight="1">
      <c r="A49" s="252" t="s">
        <v>175</v>
      </c>
      <c r="B49" s="477"/>
      <c r="C49" s="477"/>
      <c r="D49" s="477"/>
      <c r="E49" s="477"/>
      <c r="F49" s="478" t="s">
        <v>108</v>
      </c>
      <c r="G49" s="479"/>
      <c r="H49" s="479"/>
    </row>
    <row r="50" spans="1:8" ht="18.75" customHeight="1">
      <c r="A50" s="252" t="s">
        <v>1772</v>
      </c>
      <c r="B50" s="477"/>
      <c r="C50" s="477"/>
      <c r="D50" s="477"/>
      <c r="E50" s="477"/>
      <c r="F50" s="478"/>
      <c r="G50" s="479"/>
      <c r="H50" s="479"/>
    </row>
    <row r="51" spans="1:8" ht="18.75" customHeight="1">
      <c r="A51" s="252" t="s">
        <v>110</v>
      </c>
      <c r="B51" s="477"/>
      <c r="C51" s="477"/>
      <c r="D51" s="477"/>
      <c r="E51" s="477"/>
      <c r="F51" s="478"/>
      <c r="G51" s="479"/>
      <c r="H51" s="479"/>
    </row>
    <row r="52" spans="1:8" ht="18.75" customHeight="1">
      <c r="A52" s="252" t="s">
        <v>111</v>
      </c>
      <c r="B52" s="477"/>
      <c r="C52" s="477"/>
      <c r="D52" s="477"/>
      <c r="E52" s="477"/>
      <c r="F52" s="252" t="s">
        <v>2019</v>
      </c>
      <c r="G52" s="475"/>
      <c r="H52" s="475"/>
    </row>
    <row r="53" spans="1:8" ht="18.75" customHeight="1">
      <c r="A53" s="252" t="s">
        <v>115</v>
      </c>
      <c r="B53" s="474"/>
      <c r="C53" s="474"/>
      <c r="D53" s="474"/>
      <c r="E53" s="474"/>
      <c r="F53" s="252" t="s">
        <v>116</v>
      </c>
      <c r="G53" s="469"/>
      <c r="H53" s="469"/>
    </row>
    <row r="54" spans="1:8" ht="18.75" customHeight="1">
      <c r="A54" s="266" t="s">
        <v>2020</v>
      </c>
      <c r="B54" s="469"/>
      <c r="C54" s="469"/>
      <c r="D54" s="469"/>
      <c r="E54" s="469"/>
      <c r="F54" s="268" t="s">
        <v>2024</v>
      </c>
      <c r="G54" s="470"/>
      <c r="H54" s="470"/>
    </row>
    <row r="55" spans="1:8" ht="18.75" customHeight="1">
      <c r="A55" s="523" t="s">
        <v>2220</v>
      </c>
      <c r="B55" s="524"/>
      <c r="C55" s="524"/>
      <c r="D55" s="524"/>
      <c r="E55" s="524"/>
      <c r="F55" s="524"/>
      <c r="G55" s="524"/>
      <c r="H55" s="525"/>
    </row>
    <row r="56" spans="1:8" ht="35.25" customHeight="1">
      <c r="A56" s="511" t="s">
        <v>2221</v>
      </c>
      <c r="B56" s="512"/>
      <c r="C56" s="512"/>
      <c r="D56" s="512"/>
      <c r="E56" s="512"/>
      <c r="F56" s="513"/>
      <c r="G56" s="267" t="s">
        <v>2328</v>
      </c>
      <c r="H56" s="267"/>
    </row>
    <row r="57" spans="1:8" ht="38.25" customHeight="1">
      <c r="A57" s="526" t="s">
        <v>2222</v>
      </c>
      <c r="B57" s="527"/>
      <c r="C57" s="527"/>
      <c r="D57" s="527"/>
      <c r="E57" s="527"/>
      <c r="F57" s="527"/>
      <c r="G57" s="527"/>
      <c r="H57" s="528"/>
    </row>
    <row r="58" spans="1:8" ht="18.75" customHeight="1">
      <c r="A58" s="256" t="s">
        <v>2147</v>
      </c>
      <c r="B58" s="466"/>
      <c r="C58" s="467"/>
      <c r="D58" s="467"/>
      <c r="E58" s="468"/>
      <c r="F58" s="501"/>
      <c r="G58" s="502"/>
      <c r="H58" s="503"/>
    </row>
    <row r="59" spans="1:8" ht="18.75" customHeight="1">
      <c r="A59" s="252" t="s">
        <v>96</v>
      </c>
      <c r="B59" s="473"/>
      <c r="C59" s="473"/>
      <c r="D59" s="473"/>
      <c r="E59" s="252" t="s">
        <v>97</v>
      </c>
      <c r="F59" s="256"/>
      <c r="G59" s="252" t="s">
        <v>98</v>
      </c>
      <c r="H59" s="256"/>
    </row>
    <row r="60" spans="1:8" ht="18.75" customHeight="1">
      <c r="A60" s="252" t="s">
        <v>2030</v>
      </c>
      <c r="B60" s="477"/>
      <c r="C60" s="477"/>
      <c r="D60" s="477"/>
      <c r="E60" s="252" t="s">
        <v>100</v>
      </c>
      <c r="F60" s="477"/>
      <c r="G60" s="477"/>
      <c r="H60" s="477"/>
    </row>
    <row r="61" spans="1:8" ht="18.75" customHeight="1">
      <c r="A61" s="252" t="s">
        <v>101</v>
      </c>
      <c r="B61" s="477"/>
      <c r="C61" s="477"/>
      <c r="D61" s="477"/>
      <c r="E61" s="477"/>
      <c r="F61" s="252" t="s">
        <v>102</v>
      </c>
      <c r="G61" s="483"/>
      <c r="H61" s="483"/>
    </row>
    <row r="62" spans="1:8" ht="18.75" customHeight="1">
      <c r="A62" s="252" t="s">
        <v>103</v>
      </c>
      <c r="B62" s="477"/>
      <c r="C62" s="477"/>
      <c r="D62" s="477"/>
      <c r="E62" s="477"/>
      <c r="F62" s="252" t="s">
        <v>1768</v>
      </c>
      <c r="G62" s="475"/>
      <c r="H62" s="475"/>
    </row>
    <row r="63" spans="1:8" ht="18.75" customHeight="1">
      <c r="A63" s="252" t="s">
        <v>105</v>
      </c>
      <c r="B63" s="476"/>
      <c r="C63" s="476"/>
      <c r="D63" s="476"/>
      <c r="E63" s="476"/>
      <c r="F63" s="252" t="s">
        <v>106</v>
      </c>
      <c r="G63" s="475"/>
      <c r="H63" s="475"/>
    </row>
    <row r="64" spans="1:8" ht="18.75" customHeight="1">
      <c r="A64" s="252" t="s">
        <v>175</v>
      </c>
      <c r="B64" s="477"/>
      <c r="C64" s="477"/>
      <c r="D64" s="477"/>
      <c r="E64" s="477"/>
      <c r="F64" s="478" t="s">
        <v>108</v>
      </c>
      <c r="G64" s="479"/>
      <c r="H64" s="479"/>
    </row>
    <row r="65" spans="1:10" ht="18.75" customHeight="1">
      <c r="A65" s="252" t="s">
        <v>1772</v>
      </c>
      <c r="B65" s="477">
        <f>+FORMULARIO!C101</f>
        <v>0</v>
      </c>
      <c r="C65" s="477"/>
      <c r="D65" s="477"/>
      <c r="E65" s="477"/>
      <c r="F65" s="478"/>
      <c r="G65" s="479"/>
      <c r="H65" s="479"/>
    </row>
    <row r="66" spans="1:10" ht="18.75" customHeight="1">
      <c r="A66" s="252" t="s">
        <v>110</v>
      </c>
      <c r="B66" s="477">
        <f>+FORMULARIO!C102</f>
        <v>0</v>
      </c>
      <c r="C66" s="477"/>
      <c r="D66" s="477"/>
      <c r="E66" s="477"/>
      <c r="F66" s="478"/>
      <c r="G66" s="479"/>
      <c r="H66" s="479"/>
    </row>
    <row r="67" spans="1:10" ht="18.75" customHeight="1">
      <c r="A67" s="252" t="s">
        <v>111</v>
      </c>
      <c r="B67" s="477">
        <f>+FORMULARIO!C103</f>
        <v>0</v>
      </c>
      <c r="C67" s="477"/>
      <c r="D67" s="477"/>
      <c r="E67" s="477"/>
      <c r="F67" s="252" t="s">
        <v>2019</v>
      </c>
      <c r="G67" s="475"/>
      <c r="H67" s="475"/>
    </row>
    <row r="68" spans="1:10" ht="18.75" customHeight="1">
      <c r="A68" s="252" t="s">
        <v>115</v>
      </c>
      <c r="B68" s="474"/>
      <c r="C68" s="474"/>
      <c r="D68" s="474"/>
      <c r="E68" s="474"/>
      <c r="F68" s="252" t="s">
        <v>116</v>
      </c>
      <c r="G68" s="474"/>
      <c r="H68" s="474"/>
    </row>
    <row r="69" spans="1:10" ht="18.75" customHeight="1">
      <c r="A69" s="252" t="s">
        <v>2020</v>
      </c>
      <c r="B69" s="474"/>
      <c r="C69" s="474"/>
      <c r="D69" s="474"/>
      <c r="E69" s="474"/>
      <c r="F69" s="252" t="s">
        <v>2024</v>
      </c>
      <c r="G69" s="474"/>
      <c r="H69" s="474"/>
    </row>
    <row r="70" spans="1:10" ht="18.75" customHeight="1">
      <c r="A70" s="471" t="s">
        <v>2158</v>
      </c>
      <c r="B70" s="471"/>
      <c r="C70" s="471"/>
      <c r="D70" s="471"/>
      <c r="E70" s="471"/>
      <c r="F70" s="471"/>
      <c r="G70" s="471"/>
      <c r="H70" s="471"/>
      <c r="J70" s="262"/>
    </row>
    <row r="71" spans="1:10" ht="120" customHeight="1">
      <c r="A71" s="473" t="s">
        <v>2159</v>
      </c>
      <c r="B71" s="473"/>
      <c r="C71" s="473"/>
      <c r="D71" s="473"/>
      <c r="E71" s="473"/>
      <c r="F71" s="473"/>
      <c r="G71" s="473"/>
      <c r="H71" s="473"/>
    </row>
    <row r="72" spans="1:10" ht="28.5" customHeight="1">
      <c r="A72" s="473" t="s">
        <v>2162</v>
      </c>
      <c r="B72" s="501" t="s">
        <v>2332</v>
      </c>
      <c r="C72" s="502"/>
      <c r="D72" s="503"/>
      <c r="E72" s="257" t="s">
        <v>2161</v>
      </c>
      <c r="F72" s="257" t="s">
        <v>2198</v>
      </c>
      <c r="G72" s="257" t="s">
        <v>2160</v>
      </c>
      <c r="H72" s="257"/>
    </row>
    <row r="73" spans="1:10" ht="28.5" customHeight="1">
      <c r="A73" s="473"/>
      <c r="B73" s="472" t="s">
        <v>2163</v>
      </c>
      <c r="C73" s="472"/>
      <c r="D73" s="472"/>
      <c r="E73" s="257" t="s">
        <v>41</v>
      </c>
      <c r="F73" s="263"/>
      <c r="G73" s="257" t="s">
        <v>41</v>
      </c>
      <c r="H73" s="257"/>
    </row>
    <row r="74" spans="1:10" ht="28.5" customHeight="1">
      <c r="A74" s="473"/>
      <c r="B74" s="472"/>
      <c r="C74" s="472"/>
      <c r="D74" s="472"/>
      <c r="E74" s="491" t="s">
        <v>2200</v>
      </c>
      <c r="F74" s="473"/>
      <c r="G74" s="473"/>
      <c r="H74" s="473"/>
    </row>
    <row r="75" spans="1:10" ht="28.5" customHeight="1">
      <c r="A75" s="473"/>
      <c r="B75" s="472"/>
      <c r="C75" s="472"/>
      <c r="D75" s="472"/>
      <c r="E75" s="491"/>
      <c r="F75" s="473"/>
      <c r="G75" s="473"/>
      <c r="H75" s="473"/>
    </row>
    <row r="76" spans="1:10" ht="21" customHeight="1">
      <c r="A76" s="471" t="s">
        <v>2164</v>
      </c>
      <c r="B76" s="471"/>
      <c r="C76" s="471"/>
      <c r="D76" s="471"/>
      <c r="E76" s="471"/>
      <c r="F76" s="471"/>
      <c r="G76" s="471"/>
      <c r="H76" s="471"/>
    </row>
    <row r="77" spans="1:10" ht="78" customHeight="1">
      <c r="A77" s="498" t="s">
        <v>2165</v>
      </c>
      <c r="B77" s="498"/>
      <c r="C77" s="498"/>
      <c r="D77" s="498"/>
      <c r="E77" s="498"/>
      <c r="F77" s="498"/>
      <c r="G77" s="498"/>
      <c r="H77" s="498"/>
    </row>
    <row r="78" spans="1:10" ht="18.75" customHeight="1">
      <c r="A78" s="259" t="s">
        <v>2163</v>
      </c>
      <c r="B78" s="498"/>
      <c r="C78" s="498"/>
      <c r="D78" s="498"/>
      <c r="E78" s="498"/>
      <c r="F78" s="498"/>
      <c r="G78" s="259" t="s">
        <v>41</v>
      </c>
      <c r="H78" s="259"/>
    </row>
    <row r="79" spans="1:10" ht="38.25" customHeight="1">
      <c r="A79" s="256" t="s">
        <v>2201</v>
      </c>
      <c r="B79" s="498"/>
      <c r="C79" s="498"/>
      <c r="D79" s="498"/>
      <c r="E79" s="498"/>
      <c r="F79" s="498"/>
      <c r="G79" s="504"/>
      <c r="H79" s="505"/>
    </row>
    <row r="80" spans="1:10" ht="21" customHeight="1">
      <c r="A80" s="471" t="s">
        <v>2203</v>
      </c>
      <c r="B80" s="471"/>
      <c r="C80" s="471"/>
      <c r="D80" s="471"/>
      <c r="E80" s="471"/>
      <c r="F80" s="471"/>
      <c r="G80" s="471"/>
      <c r="H80" s="471"/>
    </row>
    <row r="81" spans="1:8" ht="18.75" customHeight="1">
      <c r="A81" s="481" t="s">
        <v>2204</v>
      </c>
      <c r="B81" s="481"/>
      <c r="C81" s="481"/>
      <c r="D81" s="481"/>
      <c r="E81" s="481"/>
      <c r="F81" s="481"/>
      <c r="G81" s="481" t="s">
        <v>2219</v>
      </c>
      <c r="H81" s="481"/>
    </row>
    <row r="82" spans="1:8" ht="18.75" customHeight="1">
      <c r="A82" s="485" t="s">
        <v>2207</v>
      </c>
      <c r="B82" s="485"/>
      <c r="C82" s="485"/>
      <c r="D82" s="485"/>
      <c r="E82" s="485"/>
      <c r="F82" s="485"/>
      <c r="G82" s="481" t="s">
        <v>2215</v>
      </c>
      <c r="H82" s="481"/>
    </row>
    <row r="83" spans="1:8" ht="18.75" customHeight="1">
      <c r="A83" s="485" t="s">
        <v>2208</v>
      </c>
      <c r="B83" s="485"/>
      <c r="C83" s="485"/>
      <c r="D83" s="485"/>
      <c r="E83" s="485"/>
      <c r="F83" s="485"/>
      <c r="G83" s="481"/>
      <c r="H83" s="481"/>
    </row>
    <row r="84" spans="1:8" ht="18.75" customHeight="1">
      <c r="A84" s="485" t="s">
        <v>2209</v>
      </c>
      <c r="B84" s="485"/>
      <c r="C84" s="485"/>
      <c r="D84" s="485"/>
      <c r="E84" s="485"/>
      <c r="F84" s="485"/>
      <c r="G84" s="481" t="s">
        <v>2215</v>
      </c>
      <c r="H84" s="481"/>
    </row>
    <row r="85" spans="1:8" ht="18.75" customHeight="1">
      <c r="A85" s="485" t="s">
        <v>2210</v>
      </c>
      <c r="B85" s="485"/>
      <c r="C85" s="485"/>
      <c r="D85" s="485"/>
      <c r="E85" s="485"/>
      <c r="F85" s="485"/>
      <c r="G85" s="481"/>
      <c r="H85" s="481"/>
    </row>
    <row r="86" spans="1:8" ht="18.75" customHeight="1">
      <c r="A86" s="486" t="s">
        <v>2205</v>
      </c>
      <c r="B86" s="486"/>
      <c r="C86" s="486"/>
      <c r="D86" s="486"/>
      <c r="E86" s="486"/>
      <c r="F86" s="486"/>
      <c r="G86" s="486"/>
      <c r="H86" s="486"/>
    </row>
    <row r="87" spans="1:8" ht="18.75" customHeight="1">
      <c r="A87" s="474" t="s">
        <v>2211</v>
      </c>
      <c r="B87" s="474"/>
      <c r="C87" s="474"/>
      <c r="D87" s="474"/>
      <c r="E87" s="474"/>
      <c r="F87" s="474" t="s">
        <v>2216</v>
      </c>
      <c r="G87" s="474"/>
      <c r="H87" s="260" t="s">
        <v>41</v>
      </c>
    </row>
    <row r="88" spans="1:8" ht="33.75" customHeight="1">
      <c r="A88" s="474"/>
      <c r="B88" s="474"/>
      <c r="C88" s="474"/>
      <c r="D88" s="474"/>
      <c r="E88" s="474"/>
      <c r="F88" s="484">
        <f>+FORMULARIO!C86</f>
        <v>0</v>
      </c>
      <c r="G88" s="484"/>
      <c r="H88" s="261">
        <f>+FORMULARIO!C87</f>
        <v>0</v>
      </c>
    </row>
    <row r="89" spans="1:8" ht="18.75" customHeight="1">
      <c r="A89" s="474" t="s">
        <v>2212</v>
      </c>
      <c r="B89" s="474"/>
      <c r="C89" s="474"/>
      <c r="D89" s="474"/>
      <c r="E89" s="474"/>
      <c r="F89" s="474" t="s">
        <v>2216</v>
      </c>
      <c r="G89" s="474"/>
      <c r="H89" s="260" t="s">
        <v>41</v>
      </c>
    </row>
    <row r="90" spans="1:8" ht="33.75" customHeight="1">
      <c r="A90" s="474"/>
      <c r="B90" s="474"/>
      <c r="C90" s="474"/>
      <c r="D90" s="474"/>
      <c r="E90" s="474"/>
      <c r="F90" s="484">
        <f>+FORMULARIO!C88</f>
        <v>0</v>
      </c>
      <c r="G90" s="484"/>
      <c r="H90" s="261">
        <f>+FORMULARIO!C89</f>
        <v>0</v>
      </c>
    </row>
    <row r="91" spans="1:8" ht="18.75" customHeight="1">
      <c r="A91" s="474" t="s">
        <v>2223</v>
      </c>
      <c r="B91" s="474"/>
      <c r="C91" s="474"/>
      <c r="D91" s="474"/>
      <c r="E91" s="474"/>
      <c r="F91" s="474" t="s">
        <v>2216</v>
      </c>
      <c r="G91" s="474"/>
      <c r="H91" s="260" t="s">
        <v>41</v>
      </c>
    </row>
    <row r="92" spans="1:8" ht="33.75" customHeight="1">
      <c r="A92" s="494"/>
      <c r="B92" s="495"/>
      <c r="C92" s="495"/>
      <c r="D92" s="495"/>
      <c r="E92" s="496"/>
      <c r="F92" s="494"/>
      <c r="G92" s="496"/>
      <c r="H92" s="260"/>
    </row>
    <row r="93" spans="1:8" ht="18.75" customHeight="1">
      <c r="A93" s="474" t="s">
        <v>2225</v>
      </c>
      <c r="B93" s="474"/>
      <c r="C93" s="474"/>
      <c r="D93" s="474"/>
      <c r="E93" s="474"/>
      <c r="F93" s="474" t="s">
        <v>2224</v>
      </c>
      <c r="G93" s="474"/>
      <c r="H93" s="260" t="s">
        <v>41</v>
      </c>
    </row>
    <row r="94" spans="1:8" ht="33.75" customHeight="1">
      <c r="A94" s="494"/>
      <c r="B94" s="495"/>
      <c r="C94" s="495"/>
      <c r="D94" s="495"/>
      <c r="E94" s="496"/>
      <c r="F94" s="494"/>
      <c r="G94" s="496"/>
      <c r="H94" s="260"/>
    </row>
    <row r="95" spans="1:8" ht="21">
      <c r="A95" s="471" t="s">
        <v>2217</v>
      </c>
      <c r="B95" s="471"/>
      <c r="C95" s="471"/>
      <c r="D95" s="471"/>
      <c r="E95" s="471"/>
      <c r="F95" s="471"/>
      <c r="G95" s="471"/>
      <c r="H95" s="471"/>
    </row>
    <row r="96" spans="1:8" ht="84.75" customHeight="1">
      <c r="A96" s="473" t="s">
        <v>2218</v>
      </c>
      <c r="B96" s="473"/>
      <c r="C96" s="473"/>
      <c r="D96" s="473"/>
      <c r="E96" s="473"/>
      <c r="F96" s="473"/>
      <c r="G96" s="473"/>
      <c r="H96" s="473"/>
    </row>
    <row r="97" spans="1:8" ht="55.5" customHeight="1">
      <c r="A97" s="480" t="s">
        <v>2202</v>
      </c>
      <c r="B97" s="480"/>
      <c r="C97" s="480"/>
      <c r="D97" s="480"/>
      <c r="E97" s="480"/>
      <c r="F97" s="480"/>
      <c r="G97" s="480"/>
      <c r="H97" s="480"/>
    </row>
  </sheetData>
  <mergeCells count="2202">
    <mergeCell ref="D7:E7"/>
    <mergeCell ref="B30:E30"/>
    <mergeCell ref="B72:D72"/>
    <mergeCell ref="G41:H41"/>
    <mergeCell ref="G43:H43"/>
    <mergeCell ref="XEO34:XEV34"/>
    <mergeCell ref="XEW34:XFD34"/>
    <mergeCell ref="C35:E35"/>
    <mergeCell ref="A35:B35"/>
    <mergeCell ref="XDA34:XDH34"/>
    <mergeCell ref="XDI34:XDP34"/>
    <mergeCell ref="XDQ34:XDX34"/>
    <mergeCell ref="XDY34:XEF34"/>
    <mergeCell ref="XEG34:XEN34"/>
    <mergeCell ref="XBM34:XBT34"/>
    <mergeCell ref="XBU34:XCB34"/>
    <mergeCell ref="XCC34:XCJ34"/>
    <mergeCell ref="XCK34:XCR34"/>
    <mergeCell ref="XCS34:XCZ34"/>
    <mergeCell ref="WZY34:XAF34"/>
    <mergeCell ref="XAG34:XAN34"/>
    <mergeCell ref="XAO34:XAV34"/>
    <mergeCell ref="XAW34:XBD34"/>
    <mergeCell ref="XBE34:XBL34"/>
    <mergeCell ref="WYK34:WYR34"/>
    <mergeCell ref="WYS34:WYZ34"/>
    <mergeCell ref="WZA34:WZH34"/>
    <mergeCell ref="WZI34:WZP34"/>
    <mergeCell ref="WZQ34:WZX34"/>
    <mergeCell ref="WWW34:WXD34"/>
    <mergeCell ref="WXE34:WXL34"/>
    <mergeCell ref="WXM34:WXT34"/>
    <mergeCell ref="WXU34:WYB34"/>
    <mergeCell ref="WYC34:WYJ34"/>
    <mergeCell ref="WVI34:WVP34"/>
    <mergeCell ref="WVQ34:WVX34"/>
    <mergeCell ref="WVY34:WWF34"/>
    <mergeCell ref="WWG34:WWN34"/>
    <mergeCell ref="WWO34:WWV34"/>
    <mergeCell ref="WTU34:WUB34"/>
    <mergeCell ref="WUC34:WUJ34"/>
    <mergeCell ref="WUK34:WUR34"/>
    <mergeCell ref="WUS34:WUZ34"/>
    <mergeCell ref="WVA34:WVH34"/>
    <mergeCell ref="WSG34:WSN34"/>
    <mergeCell ref="WSO34:WSV34"/>
    <mergeCell ref="WSW34:WTD34"/>
    <mergeCell ref="WTE34:WTL34"/>
    <mergeCell ref="WTM34:WTT34"/>
    <mergeCell ref="WQS34:WQZ34"/>
    <mergeCell ref="WRA34:WRH34"/>
    <mergeCell ref="WRI34:WRP34"/>
    <mergeCell ref="WRQ34:WRX34"/>
    <mergeCell ref="WRY34:WSF34"/>
    <mergeCell ref="WPE34:WPL34"/>
    <mergeCell ref="WPM34:WPT34"/>
    <mergeCell ref="WPU34:WQB34"/>
    <mergeCell ref="WQC34:WQJ34"/>
    <mergeCell ref="WQK34:WQR34"/>
    <mergeCell ref="WNQ34:WNX34"/>
    <mergeCell ref="WNY34:WOF34"/>
    <mergeCell ref="WOG34:WON34"/>
    <mergeCell ref="WOO34:WOV34"/>
    <mergeCell ref="WOW34:WPD34"/>
    <mergeCell ref="WMC34:WMJ34"/>
    <mergeCell ref="WMK34:WMR34"/>
    <mergeCell ref="WMS34:WMZ34"/>
    <mergeCell ref="WNA34:WNH34"/>
    <mergeCell ref="WNI34:WNP34"/>
    <mergeCell ref="WKO34:WKV34"/>
    <mergeCell ref="WKW34:WLD34"/>
    <mergeCell ref="WLE34:WLL34"/>
    <mergeCell ref="WLM34:WLT34"/>
    <mergeCell ref="WLU34:WMB34"/>
    <mergeCell ref="WJA34:WJH34"/>
    <mergeCell ref="WJI34:WJP34"/>
    <mergeCell ref="WJQ34:WJX34"/>
    <mergeCell ref="WJY34:WKF34"/>
    <mergeCell ref="WKG34:WKN34"/>
    <mergeCell ref="WHM34:WHT34"/>
    <mergeCell ref="WHU34:WIB34"/>
    <mergeCell ref="WIC34:WIJ34"/>
    <mergeCell ref="WIK34:WIR34"/>
    <mergeCell ref="WIS34:WIZ34"/>
    <mergeCell ref="WFY34:WGF34"/>
    <mergeCell ref="WGG34:WGN34"/>
    <mergeCell ref="WGO34:WGV34"/>
    <mergeCell ref="WGW34:WHD34"/>
    <mergeCell ref="WHE34:WHL34"/>
    <mergeCell ref="WEK34:WER34"/>
    <mergeCell ref="WES34:WEZ34"/>
    <mergeCell ref="WFA34:WFH34"/>
    <mergeCell ref="WFI34:WFP34"/>
    <mergeCell ref="WFQ34:WFX34"/>
    <mergeCell ref="WCW34:WDD34"/>
    <mergeCell ref="WDE34:WDL34"/>
    <mergeCell ref="WDM34:WDT34"/>
    <mergeCell ref="WDU34:WEB34"/>
    <mergeCell ref="WEC34:WEJ34"/>
    <mergeCell ref="WBI34:WBP34"/>
    <mergeCell ref="WBQ34:WBX34"/>
    <mergeCell ref="WBY34:WCF34"/>
    <mergeCell ref="WCG34:WCN34"/>
    <mergeCell ref="WCO34:WCV34"/>
    <mergeCell ref="VZU34:WAB34"/>
    <mergeCell ref="WAC34:WAJ34"/>
    <mergeCell ref="WAK34:WAR34"/>
    <mergeCell ref="WAS34:WAZ34"/>
    <mergeCell ref="WBA34:WBH34"/>
    <mergeCell ref="VYG34:VYN34"/>
    <mergeCell ref="VYO34:VYV34"/>
    <mergeCell ref="VYW34:VZD34"/>
    <mergeCell ref="VZE34:VZL34"/>
    <mergeCell ref="VZM34:VZT34"/>
    <mergeCell ref="VWS34:VWZ34"/>
    <mergeCell ref="VXA34:VXH34"/>
    <mergeCell ref="VXI34:VXP34"/>
    <mergeCell ref="VXQ34:VXX34"/>
    <mergeCell ref="VXY34:VYF34"/>
    <mergeCell ref="VVE34:VVL34"/>
    <mergeCell ref="VVM34:VVT34"/>
    <mergeCell ref="VVU34:VWB34"/>
    <mergeCell ref="VWC34:VWJ34"/>
    <mergeCell ref="VWK34:VWR34"/>
    <mergeCell ref="VTQ34:VTX34"/>
    <mergeCell ref="VTY34:VUF34"/>
    <mergeCell ref="VUG34:VUN34"/>
    <mergeCell ref="VUO34:VUV34"/>
    <mergeCell ref="VUW34:VVD34"/>
    <mergeCell ref="VSC34:VSJ34"/>
    <mergeCell ref="VSK34:VSR34"/>
    <mergeCell ref="VSS34:VSZ34"/>
    <mergeCell ref="VTA34:VTH34"/>
    <mergeCell ref="VTI34:VTP34"/>
    <mergeCell ref="VQO34:VQV34"/>
    <mergeCell ref="VQW34:VRD34"/>
    <mergeCell ref="VRE34:VRL34"/>
    <mergeCell ref="VRM34:VRT34"/>
    <mergeCell ref="VRU34:VSB34"/>
    <mergeCell ref="VPA34:VPH34"/>
    <mergeCell ref="VPI34:VPP34"/>
    <mergeCell ref="VPQ34:VPX34"/>
    <mergeCell ref="VPY34:VQF34"/>
    <mergeCell ref="VQG34:VQN34"/>
    <mergeCell ref="VNM34:VNT34"/>
    <mergeCell ref="VNU34:VOB34"/>
    <mergeCell ref="VOC34:VOJ34"/>
    <mergeCell ref="VOK34:VOR34"/>
    <mergeCell ref="VOS34:VOZ34"/>
    <mergeCell ref="VLY34:VMF34"/>
    <mergeCell ref="VMG34:VMN34"/>
    <mergeCell ref="VMO34:VMV34"/>
    <mergeCell ref="VMW34:VND34"/>
    <mergeCell ref="VNE34:VNL34"/>
    <mergeCell ref="VKK34:VKR34"/>
    <mergeCell ref="VKS34:VKZ34"/>
    <mergeCell ref="VLA34:VLH34"/>
    <mergeCell ref="VLI34:VLP34"/>
    <mergeCell ref="VLQ34:VLX34"/>
    <mergeCell ref="VIW34:VJD34"/>
    <mergeCell ref="VJE34:VJL34"/>
    <mergeCell ref="VJM34:VJT34"/>
    <mergeCell ref="VJU34:VKB34"/>
    <mergeCell ref="VKC34:VKJ34"/>
    <mergeCell ref="VHI34:VHP34"/>
    <mergeCell ref="VHQ34:VHX34"/>
    <mergeCell ref="VHY34:VIF34"/>
    <mergeCell ref="VIG34:VIN34"/>
    <mergeCell ref="VIO34:VIV34"/>
    <mergeCell ref="VFU34:VGB34"/>
    <mergeCell ref="VGC34:VGJ34"/>
    <mergeCell ref="VGK34:VGR34"/>
    <mergeCell ref="VGS34:VGZ34"/>
    <mergeCell ref="VHA34:VHH34"/>
    <mergeCell ref="VEG34:VEN34"/>
    <mergeCell ref="VEO34:VEV34"/>
    <mergeCell ref="VEW34:VFD34"/>
    <mergeCell ref="VFE34:VFL34"/>
    <mergeCell ref="VFM34:VFT34"/>
    <mergeCell ref="VCS34:VCZ34"/>
    <mergeCell ref="VDA34:VDH34"/>
    <mergeCell ref="VDI34:VDP34"/>
    <mergeCell ref="VDQ34:VDX34"/>
    <mergeCell ref="VDY34:VEF34"/>
    <mergeCell ref="VBE34:VBL34"/>
    <mergeCell ref="VBM34:VBT34"/>
    <mergeCell ref="VBU34:VCB34"/>
    <mergeCell ref="VCC34:VCJ34"/>
    <mergeCell ref="VCK34:VCR34"/>
    <mergeCell ref="UZQ34:UZX34"/>
    <mergeCell ref="UZY34:VAF34"/>
    <mergeCell ref="VAG34:VAN34"/>
    <mergeCell ref="VAO34:VAV34"/>
    <mergeCell ref="VAW34:VBD34"/>
    <mergeCell ref="UYC34:UYJ34"/>
    <mergeCell ref="UYK34:UYR34"/>
    <mergeCell ref="UYS34:UYZ34"/>
    <mergeCell ref="UZA34:UZH34"/>
    <mergeCell ref="UZI34:UZP34"/>
    <mergeCell ref="UWO34:UWV34"/>
    <mergeCell ref="UWW34:UXD34"/>
    <mergeCell ref="UXE34:UXL34"/>
    <mergeCell ref="UXM34:UXT34"/>
    <mergeCell ref="UXU34:UYB34"/>
    <mergeCell ref="UVA34:UVH34"/>
    <mergeCell ref="UVI34:UVP34"/>
    <mergeCell ref="UVQ34:UVX34"/>
    <mergeCell ref="UVY34:UWF34"/>
    <mergeCell ref="UWG34:UWN34"/>
    <mergeCell ref="UTM34:UTT34"/>
    <mergeCell ref="UTU34:UUB34"/>
    <mergeCell ref="UUC34:UUJ34"/>
    <mergeCell ref="UUK34:UUR34"/>
    <mergeCell ref="UUS34:UUZ34"/>
    <mergeCell ref="URY34:USF34"/>
    <mergeCell ref="USG34:USN34"/>
    <mergeCell ref="USO34:USV34"/>
    <mergeCell ref="USW34:UTD34"/>
    <mergeCell ref="UTE34:UTL34"/>
    <mergeCell ref="UQK34:UQR34"/>
    <mergeCell ref="UQS34:UQZ34"/>
    <mergeCell ref="URA34:URH34"/>
    <mergeCell ref="URI34:URP34"/>
    <mergeCell ref="URQ34:URX34"/>
    <mergeCell ref="UOW34:UPD34"/>
    <mergeCell ref="UPE34:UPL34"/>
    <mergeCell ref="UPM34:UPT34"/>
    <mergeCell ref="UPU34:UQB34"/>
    <mergeCell ref="UQC34:UQJ34"/>
    <mergeCell ref="UNI34:UNP34"/>
    <mergeCell ref="UNQ34:UNX34"/>
    <mergeCell ref="UNY34:UOF34"/>
    <mergeCell ref="UOG34:UON34"/>
    <mergeCell ref="UOO34:UOV34"/>
    <mergeCell ref="ULU34:UMB34"/>
    <mergeCell ref="UMC34:UMJ34"/>
    <mergeCell ref="UMK34:UMR34"/>
    <mergeCell ref="UMS34:UMZ34"/>
    <mergeCell ref="UNA34:UNH34"/>
    <mergeCell ref="UKG34:UKN34"/>
    <mergeCell ref="UKO34:UKV34"/>
    <mergeCell ref="UKW34:ULD34"/>
    <mergeCell ref="ULE34:ULL34"/>
    <mergeCell ref="ULM34:ULT34"/>
    <mergeCell ref="UIS34:UIZ34"/>
    <mergeCell ref="UJA34:UJH34"/>
    <mergeCell ref="UJI34:UJP34"/>
    <mergeCell ref="UJQ34:UJX34"/>
    <mergeCell ref="UJY34:UKF34"/>
    <mergeCell ref="UHE34:UHL34"/>
    <mergeCell ref="UHM34:UHT34"/>
    <mergeCell ref="UHU34:UIB34"/>
    <mergeCell ref="UIC34:UIJ34"/>
    <mergeCell ref="UIK34:UIR34"/>
    <mergeCell ref="UFQ34:UFX34"/>
    <mergeCell ref="UFY34:UGF34"/>
    <mergeCell ref="UGG34:UGN34"/>
    <mergeCell ref="UGO34:UGV34"/>
    <mergeCell ref="UGW34:UHD34"/>
    <mergeCell ref="UEC34:UEJ34"/>
    <mergeCell ref="UEK34:UER34"/>
    <mergeCell ref="UES34:UEZ34"/>
    <mergeCell ref="UFA34:UFH34"/>
    <mergeCell ref="UFI34:UFP34"/>
    <mergeCell ref="UCO34:UCV34"/>
    <mergeCell ref="UCW34:UDD34"/>
    <mergeCell ref="UDE34:UDL34"/>
    <mergeCell ref="UDM34:UDT34"/>
    <mergeCell ref="UDU34:UEB34"/>
    <mergeCell ref="UBA34:UBH34"/>
    <mergeCell ref="UBI34:UBP34"/>
    <mergeCell ref="UBQ34:UBX34"/>
    <mergeCell ref="UBY34:UCF34"/>
    <mergeCell ref="UCG34:UCN34"/>
    <mergeCell ref="TZM34:TZT34"/>
    <mergeCell ref="TZU34:UAB34"/>
    <mergeCell ref="UAC34:UAJ34"/>
    <mergeCell ref="UAK34:UAR34"/>
    <mergeCell ref="UAS34:UAZ34"/>
    <mergeCell ref="TXY34:TYF34"/>
    <mergeCell ref="TYG34:TYN34"/>
    <mergeCell ref="TYO34:TYV34"/>
    <mergeCell ref="TYW34:TZD34"/>
    <mergeCell ref="TZE34:TZL34"/>
    <mergeCell ref="TWK34:TWR34"/>
    <mergeCell ref="TWS34:TWZ34"/>
    <mergeCell ref="TXA34:TXH34"/>
    <mergeCell ref="TXI34:TXP34"/>
    <mergeCell ref="TXQ34:TXX34"/>
    <mergeCell ref="TUW34:TVD34"/>
    <mergeCell ref="TVE34:TVL34"/>
    <mergeCell ref="TVM34:TVT34"/>
    <mergeCell ref="TVU34:TWB34"/>
    <mergeCell ref="TWC34:TWJ34"/>
    <mergeCell ref="TTI34:TTP34"/>
    <mergeCell ref="TTQ34:TTX34"/>
    <mergeCell ref="TTY34:TUF34"/>
    <mergeCell ref="TUG34:TUN34"/>
    <mergeCell ref="TUO34:TUV34"/>
    <mergeCell ref="TRU34:TSB34"/>
    <mergeCell ref="TSC34:TSJ34"/>
    <mergeCell ref="TSK34:TSR34"/>
    <mergeCell ref="TSS34:TSZ34"/>
    <mergeCell ref="TTA34:TTH34"/>
    <mergeCell ref="TQG34:TQN34"/>
    <mergeCell ref="TQO34:TQV34"/>
    <mergeCell ref="TQW34:TRD34"/>
    <mergeCell ref="TRE34:TRL34"/>
    <mergeCell ref="TRM34:TRT34"/>
    <mergeCell ref="TOS34:TOZ34"/>
    <mergeCell ref="TPA34:TPH34"/>
    <mergeCell ref="TPI34:TPP34"/>
    <mergeCell ref="TPQ34:TPX34"/>
    <mergeCell ref="TPY34:TQF34"/>
    <mergeCell ref="TNE34:TNL34"/>
    <mergeCell ref="TNM34:TNT34"/>
    <mergeCell ref="TNU34:TOB34"/>
    <mergeCell ref="TOC34:TOJ34"/>
    <mergeCell ref="TOK34:TOR34"/>
    <mergeCell ref="TLQ34:TLX34"/>
    <mergeCell ref="TLY34:TMF34"/>
    <mergeCell ref="TMG34:TMN34"/>
    <mergeCell ref="TMO34:TMV34"/>
    <mergeCell ref="TMW34:TND34"/>
    <mergeCell ref="TKC34:TKJ34"/>
    <mergeCell ref="TKK34:TKR34"/>
    <mergeCell ref="TKS34:TKZ34"/>
    <mergeCell ref="TLA34:TLH34"/>
    <mergeCell ref="TLI34:TLP34"/>
    <mergeCell ref="TIO34:TIV34"/>
    <mergeCell ref="TIW34:TJD34"/>
    <mergeCell ref="TJE34:TJL34"/>
    <mergeCell ref="TJM34:TJT34"/>
    <mergeCell ref="TJU34:TKB34"/>
    <mergeCell ref="THA34:THH34"/>
    <mergeCell ref="THI34:THP34"/>
    <mergeCell ref="THQ34:THX34"/>
    <mergeCell ref="THY34:TIF34"/>
    <mergeCell ref="TIG34:TIN34"/>
    <mergeCell ref="TFM34:TFT34"/>
    <mergeCell ref="TFU34:TGB34"/>
    <mergeCell ref="TGC34:TGJ34"/>
    <mergeCell ref="TGK34:TGR34"/>
    <mergeCell ref="TGS34:TGZ34"/>
    <mergeCell ref="TDY34:TEF34"/>
    <mergeCell ref="TEG34:TEN34"/>
    <mergeCell ref="TEO34:TEV34"/>
    <mergeCell ref="TEW34:TFD34"/>
    <mergeCell ref="TFE34:TFL34"/>
    <mergeCell ref="TCK34:TCR34"/>
    <mergeCell ref="TCS34:TCZ34"/>
    <mergeCell ref="TDA34:TDH34"/>
    <mergeCell ref="TDI34:TDP34"/>
    <mergeCell ref="TDQ34:TDX34"/>
    <mergeCell ref="TAW34:TBD34"/>
    <mergeCell ref="TBE34:TBL34"/>
    <mergeCell ref="TBM34:TBT34"/>
    <mergeCell ref="TBU34:TCB34"/>
    <mergeCell ref="TCC34:TCJ34"/>
    <mergeCell ref="SZI34:SZP34"/>
    <mergeCell ref="SZQ34:SZX34"/>
    <mergeCell ref="SZY34:TAF34"/>
    <mergeCell ref="TAG34:TAN34"/>
    <mergeCell ref="TAO34:TAV34"/>
    <mergeCell ref="SXU34:SYB34"/>
    <mergeCell ref="SYC34:SYJ34"/>
    <mergeCell ref="SYK34:SYR34"/>
    <mergeCell ref="SYS34:SYZ34"/>
    <mergeCell ref="SZA34:SZH34"/>
    <mergeCell ref="SWG34:SWN34"/>
    <mergeCell ref="SWO34:SWV34"/>
    <mergeCell ref="SWW34:SXD34"/>
    <mergeCell ref="SXE34:SXL34"/>
    <mergeCell ref="SXM34:SXT34"/>
    <mergeCell ref="SUS34:SUZ34"/>
    <mergeCell ref="SVA34:SVH34"/>
    <mergeCell ref="SVI34:SVP34"/>
    <mergeCell ref="SVQ34:SVX34"/>
    <mergeCell ref="SVY34:SWF34"/>
    <mergeCell ref="STE34:STL34"/>
    <mergeCell ref="STM34:STT34"/>
    <mergeCell ref="STU34:SUB34"/>
    <mergeCell ref="SUC34:SUJ34"/>
    <mergeCell ref="SUK34:SUR34"/>
    <mergeCell ref="SRQ34:SRX34"/>
    <mergeCell ref="SRY34:SSF34"/>
    <mergeCell ref="SSG34:SSN34"/>
    <mergeCell ref="SSO34:SSV34"/>
    <mergeCell ref="SSW34:STD34"/>
    <mergeCell ref="SQC34:SQJ34"/>
    <mergeCell ref="SQK34:SQR34"/>
    <mergeCell ref="SQS34:SQZ34"/>
    <mergeCell ref="SRA34:SRH34"/>
    <mergeCell ref="SRI34:SRP34"/>
    <mergeCell ref="SOO34:SOV34"/>
    <mergeCell ref="SOW34:SPD34"/>
    <mergeCell ref="SPE34:SPL34"/>
    <mergeCell ref="SPM34:SPT34"/>
    <mergeCell ref="SPU34:SQB34"/>
    <mergeCell ref="SNA34:SNH34"/>
    <mergeCell ref="SNI34:SNP34"/>
    <mergeCell ref="SNQ34:SNX34"/>
    <mergeCell ref="SNY34:SOF34"/>
    <mergeCell ref="SOG34:SON34"/>
    <mergeCell ref="SLM34:SLT34"/>
    <mergeCell ref="SLU34:SMB34"/>
    <mergeCell ref="SMC34:SMJ34"/>
    <mergeCell ref="SMK34:SMR34"/>
    <mergeCell ref="SMS34:SMZ34"/>
    <mergeCell ref="SJY34:SKF34"/>
    <mergeCell ref="SKG34:SKN34"/>
    <mergeCell ref="SKO34:SKV34"/>
    <mergeCell ref="SKW34:SLD34"/>
    <mergeCell ref="SLE34:SLL34"/>
    <mergeCell ref="SIK34:SIR34"/>
    <mergeCell ref="SIS34:SIZ34"/>
    <mergeCell ref="SJA34:SJH34"/>
    <mergeCell ref="SJI34:SJP34"/>
    <mergeCell ref="SJQ34:SJX34"/>
    <mergeCell ref="SGW34:SHD34"/>
    <mergeCell ref="SHE34:SHL34"/>
    <mergeCell ref="SHM34:SHT34"/>
    <mergeCell ref="SHU34:SIB34"/>
    <mergeCell ref="SIC34:SIJ34"/>
    <mergeCell ref="SFI34:SFP34"/>
    <mergeCell ref="SFQ34:SFX34"/>
    <mergeCell ref="SFY34:SGF34"/>
    <mergeCell ref="SGG34:SGN34"/>
    <mergeCell ref="SGO34:SGV34"/>
    <mergeCell ref="SDU34:SEB34"/>
    <mergeCell ref="SEC34:SEJ34"/>
    <mergeCell ref="SEK34:SER34"/>
    <mergeCell ref="SES34:SEZ34"/>
    <mergeCell ref="SFA34:SFH34"/>
    <mergeCell ref="SCG34:SCN34"/>
    <mergeCell ref="SCO34:SCV34"/>
    <mergeCell ref="SCW34:SDD34"/>
    <mergeCell ref="SDE34:SDL34"/>
    <mergeCell ref="SDM34:SDT34"/>
    <mergeCell ref="SAS34:SAZ34"/>
    <mergeCell ref="SBA34:SBH34"/>
    <mergeCell ref="SBI34:SBP34"/>
    <mergeCell ref="SBQ34:SBX34"/>
    <mergeCell ref="SBY34:SCF34"/>
    <mergeCell ref="RZE34:RZL34"/>
    <mergeCell ref="RZM34:RZT34"/>
    <mergeCell ref="RZU34:SAB34"/>
    <mergeCell ref="SAC34:SAJ34"/>
    <mergeCell ref="SAK34:SAR34"/>
    <mergeCell ref="RXQ34:RXX34"/>
    <mergeCell ref="RXY34:RYF34"/>
    <mergeCell ref="RYG34:RYN34"/>
    <mergeCell ref="RYO34:RYV34"/>
    <mergeCell ref="RYW34:RZD34"/>
    <mergeCell ref="RWC34:RWJ34"/>
    <mergeCell ref="RWK34:RWR34"/>
    <mergeCell ref="RWS34:RWZ34"/>
    <mergeCell ref="RXA34:RXH34"/>
    <mergeCell ref="RXI34:RXP34"/>
    <mergeCell ref="RUO34:RUV34"/>
    <mergeCell ref="RUW34:RVD34"/>
    <mergeCell ref="RVE34:RVL34"/>
    <mergeCell ref="RVM34:RVT34"/>
    <mergeCell ref="RVU34:RWB34"/>
    <mergeCell ref="RTA34:RTH34"/>
    <mergeCell ref="RTI34:RTP34"/>
    <mergeCell ref="RTQ34:RTX34"/>
    <mergeCell ref="RTY34:RUF34"/>
    <mergeCell ref="RUG34:RUN34"/>
    <mergeCell ref="RRM34:RRT34"/>
    <mergeCell ref="RRU34:RSB34"/>
    <mergeCell ref="RSC34:RSJ34"/>
    <mergeCell ref="RSK34:RSR34"/>
    <mergeCell ref="RSS34:RSZ34"/>
    <mergeCell ref="RPY34:RQF34"/>
    <mergeCell ref="RQG34:RQN34"/>
    <mergeCell ref="RQO34:RQV34"/>
    <mergeCell ref="RQW34:RRD34"/>
    <mergeCell ref="RRE34:RRL34"/>
    <mergeCell ref="ROK34:ROR34"/>
    <mergeCell ref="ROS34:ROZ34"/>
    <mergeCell ref="RPA34:RPH34"/>
    <mergeCell ref="RPI34:RPP34"/>
    <mergeCell ref="RPQ34:RPX34"/>
    <mergeCell ref="RMW34:RND34"/>
    <mergeCell ref="RNE34:RNL34"/>
    <mergeCell ref="RNM34:RNT34"/>
    <mergeCell ref="RNU34:ROB34"/>
    <mergeCell ref="ROC34:ROJ34"/>
    <mergeCell ref="RLI34:RLP34"/>
    <mergeCell ref="RLQ34:RLX34"/>
    <mergeCell ref="RLY34:RMF34"/>
    <mergeCell ref="RMG34:RMN34"/>
    <mergeCell ref="RMO34:RMV34"/>
    <mergeCell ref="RJU34:RKB34"/>
    <mergeCell ref="RKC34:RKJ34"/>
    <mergeCell ref="RKK34:RKR34"/>
    <mergeCell ref="RKS34:RKZ34"/>
    <mergeCell ref="RLA34:RLH34"/>
    <mergeCell ref="RIG34:RIN34"/>
    <mergeCell ref="RIO34:RIV34"/>
    <mergeCell ref="RIW34:RJD34"/>
    <mergeCell ref="RJE34:RJL34"/>
    <mergeCell ref="RJM34:RJT34"/>
    <mergeCell ref="RGS34:RGZ34"/>
    <mergeCell ref="RHA34:RHH34"/>
    <mergeCell ref="RHI34:RHP34"/>
    <mergeCell ref="RHQ34:RHX34"/>
    <mergeCell ref="RHY34:RIF34"/>
    <mergeCell ref="RFE34:RFL34"/>
    <mergeCell ref="RFM34:RFT34"/>
    <mergeCell ref="RFU34:RGB34"/>
    <mergeCell ref="RGC34:RGJ34"/>
    <mergeCell ref="RGK34:RGR34"/>
    <mergeCell ref="RDQ34:RDX34"/>
    <mergeCell ref="RDY34:REF34"/>
    <mergeCell ref="REG34:REN34"/>
    <mergeCell ref="REO34:REV34"/>
    <mergeCell ref="REW34:RFD34"/>
    <mergeCell ref="RCC34:RCJ34"/>
    <mergeCell ref="RCK34:RCR34"/>
    <mergeCell ref="RCS34:RCZ34"/>
    <mergeCell ref="RDA34:RDH34"/>
    <mergeCell ref="RDI34:RDP34"/>
    <mergeCell ref="RAO34:RAV34"/>
    <mergeCell ref="RAW34:RBD34"/>
    <mergeCell ref="RBE34:RBL34"/>
    <mergeCell ref="RBM34:RBT34"/>
    <mergeCell ref="RBU34:RCB34"/>
    <mergeCell ref="QZA34:QZH34"/>
    <mergeCell ref="QZI34:QZP34"/>
    <mergeCell ref="QZQ34:QZX34"/>
    <mergeCell ref="QZY34:RAF34"/>
    <mergeCell ref="RAG34:RAN34"/>
    <mergeCell ref="QXM34:QXT34"/>
    <mergeCell ref="QXU34:QYB34"/>
    <mergeCell ref="QYC34:QYJ34"/>
    <mergeCell ref="QYK34:QYR34"/>
    <mergeCell ref="QYS34:QYZ34"/>
    <mergeCell ref="QVY34:QWF34"/>
    <mergeCell ref="QWG34:QWN34"/>
    <mergeCell ref="QWO34:QWV34"/>
    <mergeCell ref="QWW34:QXD34"/>
    <mergeCell ref="QXE34:QXL34"/>
    <mergeCell ref="QUK34:QUR34"/>
    <mergeCell ref="QUS34:QUZ34"/>
    <mergeCell ref="QVA34:QVH34"/>
    <mergeCell ref="QVI34:QVP34"/>
    <mergeCell ref="QVQ34:QVX34"/>
    <mergeCell ref="QSW34:QTD34"/>
    <mergeCell ref="QTE34:QTL34"/>
    <mergeCell ref="QTM34:QTT34"/>
    <mergeCell ref="QTU34:QUB34"/>
    <mergeCell ref="QUC34:QUJ34"/>
    <mergeCell ref="QRI34:QRP34"/>
    <mergeCell ref="QRQ34:QRX34"/>
    <mergeCell ref="QRY34:QSF34"/>
    <mergeCell ref="QSG34:QSN34"/>
    <mergeCell ref="QSO34:QSV34"/>
    <mergeCell ref="QPU34:QQB34"/>
    <mergeCell ref="QQC34:QQJ34"/>
    <mergeCell ref="QQK34:QQR34"/>
    <mergeCell ref="QQS34:QQZ34"/>
    <mergeCell ref="QRA34:QRH34"/>
    <mergeCell ref="QOG34:QON34"/>
    <mergeCell ref="QOO34:QOV34"/>
    <mergeCell ref="QOW34:QPD34"/>
    <mergeCell ref="QPE34:QPL34"/>
    <mergeCell ref="QPM34:QPT34"/>
    <mergeCell ref="QMS34:QMZ34"/>
    <mergeCell ref="QNA34:QNH34"/>
    <mergeCell ref="QNI34:QNP34"/>
    <mergeCell ref="QNQ34:QNX34"/>
    <mergeCell ref="QNY34:QOF34"/>
    <mergeCell ref="QLE34:QLL34"/>
    <mergeCell ref="QLM34:QLT34"/>
    <mergeCell ref="QLU34:QMB34"/>
    <mergeCell ref="QMC34:QMJ34"/>
    <mergeCell ref="QMK34:QMR34"/>
    <mergeCell ref="QJQ34:QJX34"/>
    <mergeCell ref="QJY34:QKF34"/>
    <mergeCell ref="QKG34:QKN34"/>
    <mergeCell ref="QKO34:QKV34"/>
    <mergeCell ref="QKW34:QLD34"/>
    <mergeCell ref="QIC34:QIJ34"/>
    <mergeCell ref="QIK34:QIR34"/>
    <mergeCell ref="QIS34:QIZ34"/>
    <mergeCell ref="QJA34:QJH34"/>
    <mergeCell ref="QJI34:QJP34"/>
    <mergeCell ref="QGO34:QGV34"/>
    <mergeCell ref="QGW34:QHD34"/>
    <mergeCell ref="QHE34:QHL34"/>
    <mergeCell ref="QHM34:QHT34"/>
    <mergeCell ref="QHU34:QIB34"/>
    <mergeCell ref="QFA34:QFH34"/>
    <mergeCell ref="QFI34:QFP34"/>
    <mergeCell ref="QFQ34:QFX34"/>
    <mergeCell ref="QFY34:QGF34"/>
    <mergeCell ref="QGG34:QGN34"/>
    <mergeCell ref="QDM34:QDT34"/>
    <mergeCell ref="QDU34:QEB34"/>
    <mergeCell ref="QEC34:QEJ34"/>
    <mergeCell ref="QEK34:QER34"/>
    <mergeCell ref="QES34:QEZ34"/>
    <mergeCell ref="QBY34:QCF34"/>
    <mergeCell ref="QCG34:QCN34"/>
    <mergeCell ref="QCO34:QCV34"/>
    <mergeCell ref="QCW34:QDD34"/>
    <mergeCell ref="QDE34:QDL34"/>
    <mergeCell ref="QAK34:QAR34"/>
    <mergeCell ref="QAS34:QAZ34"/>
    <mergeCell ref="QBA34:QBH34"/>
    <mergeCell ref="QBI34:QBP34"/>
    <mergeCell ref="QBQ34:QBX34"/>
    <mergeCell ref="PYW34:PZD34"/>
    <mergeCell ref="PZE34:PZL34"/>
    <mergeCell ref="PZM34:PZT34"/>
    <mergeCell ref="PZU34:QAB34"/>
    <mergeCell ref="QAC34:QAJ34"/>
    <mergeCell ref="PXI34:PXP34"/>
    <mergeCell ref="PXQ34:PXX34"/>
    <mergeCell ref="PXY34:PYF34"/>
    <mergeCell ref="PYG34:PYN34"/>
    <mergeCell ref="PYO34:PYV34"/>
    <mergeCell ref="PVU34:PWB34"/>
    <mergeCell ref="PWC34:PWJ34"/>
    <mergeCell ref="PWK34:PWR34"/>
    <mergeCell ref="PWS34:PWZ34"/>
    <mergeCell ref="PXA34:PXH34"/>
    <mergeCell ref="PUG34:PUN34"/>
    <mergeCell ref="PUO34:PUV34"/>
    <mergeCell ref="PUW34:PVD34"/>
    <mergeCell ref="PVE34:PVL34"/>
    <mergeCell ref="PVM34:PVT34"/>
    <mergeCell ref="PSS34:PSZ34"/>
    <mergeCell ref="PTA34:PTH34"/>
    <mergeCell ref="PTI34:PTP34"/>
    <mergeCell ref="PTQ34:PTX34"/>
    <mergeCell ref="PTY34:PUF34"/>
    <mergeCell ref="PRE34:PRL34"/>
    <mergeCell ref="PRM34:PRT34"/>
    <mergeCell ref="PRU34:PSB34"/>
    <mergeCell ref="PSC34:PSJ34"/>
    <mergeCell ref="PSK34:PSR34"/>
    <mergeCell ref="PPQ34:PPX34"/>
    <mergeCell ref="PPY34:PQF34"/>
    <mergeCell ref="PQG34:PQN34"/>
    <mergeCell ref="PQO34:PQV34"/>
    <mergeCell ref="PQW34:PRD34"/>
    <mergeCell ref="POC34:POJ34"/>
    <mergeCell ref="POK34:POR34"/>
    <mergeCell ref="POS34:POZ34"/>
    <mergeCell ref="PPA34:PPH34"/>
    <mergeCell ref="PPI34:PPP34"/>
    <mergeCell ref="PMO34:PMV34"/>
    <mergeCell ref="PMW34:PND34"/>
    <mergeCell ref="PNE34:PNL34"/>
    <mergeCell ref="PNM34:PNT34"/>
    <mergeCell ref="PNU34:POB34"/>
    <mergeCell ref="PLA34:PLH34"/>
    <mergeCell ref="PLI34:PLP34"/>
    <mergeCell ref="PLQ34:PLX34"/>
    <mergeCell ref="PLY34:PMF34"/>
    <mergeCell ref="PMG34:PMN34"/>
    <mergeCell ref="PJM34:PJT34"/>
    <mergeCell ref="PJU34:PKB34"/>
    <mergeCell ref="PKC34:PKJ34"/>
    <mergeCell ref="PKK34:PKR34"/>
    <mergeCell ref="PKS34:PKZ34"/>
    <mergeCell ref="PHY34:PIF34"/>
    <mergeCell ref="PIG34:PIN34"/>
    <mergeCell ref="PIO34:PIV34"/>
    <mergeCell ref="PIW34:PJD34"/>
    <mergeCell ref="PJE34:PJL34"/>
    <mergeCell ref="PGK34:PGR34"/>
    <mergeCell ref="PGS34:PGZ34"/>
    <mergeCell ref="PHA34:PHH34"/>
    <mergeCell ref="PHI34:PHP34"/>
    <mergeCell ref="PHQ34:PHX34"/>
    <mergeCell ref="PEW34:PFD34"/>
    <mergeCell ref="PFE34:PFL34"/>
    <mergeCell ref="PFM34:PFT34"/>
    <mergeCell ref="PFU34:PGB34"/>
    <mergeCell ref="PGC34:PGJ34"/>
    <mergeCell ref="PDI34:PDP34"/>
    <mergeCell ref="PDQ34:PDX34"/>
    <mergeCell ref="PDY34:PEF34"/>
    <mergeCell ref="PEG34:PEN34"/>
    <mergeCell ref="PEO34:PEV34"/>
    <mergeCell ref="PBU34:PCB34"/>
    <mergeCell ref="PCC34:PCJ34"/>
    <mergeCell ref="PCK34:PCR34"/>
    <mergeCell ref="PCS34:PCZ34"/>
    <mergeCell ref="PDA34:PDH34"/>
    <mergeCell ref="PAG34:PAN34"/>
    <mergeCell ref="PAO34:PAV34"/>
    <mergeCell ref="PAW34:PBD34"/>
    <mergeCell ref="PBE34:PBL34"/>
    <mergeCell ref="PBM34:PBT34"/>
    <mergeCell ref="OYS34:OYZ34"/>
    <mergeCell ref="OZA34:OZH34"/>
    <mergeCell ref="OZI34:OZP34"/>
    <mergeCell ref="OZQ34:OZX34"/>
    <mergeCell ref="OZY34:PAF34"/>
    <mergeCell ref="OXE34:OXL34"/>
    <mergeCell ref="OXM34:OXT34"/>
    <mergeCell ref="OXU34:OYB34"/>
    <mergeCell ref="OYC34:OYJ34"/>
    <mergeCell ref="OYK34:OYR34"/>
    <mergeCell ref="OVQ34:OVX34"/>
    <mergeCell ref="OVY34:OWF34"/>
    <mergeCell ref="OWG34:OWN34"/>
    <mergeCell ref="OWO34:OWV34"/>
    <mergeCell ref="OWW34:OXD34"/>
    <mergeCell ref="OUC34:OUJ34"/>
    <mergeCell ref="OUK34:OUR34"/>
    <mergeCell ref="OUS34:OUZ34"/>
    <mergeCell ref="OVA34:OVH34"/>
    <mergeCell ref="OVI34:OVP34"/>
    <mergeCell ref="OSO34:OSV34"/>
    <mergeCell ref="OSW34:OTD34"/>
    <mergeCell ref="OTE34:OTL34"/>
    <mergeCell ref="OTM34:OTT34"/>
    <mergeCell ref="OTU34:OUB34"/>
    <mergeCell ref="ORA34:ORH34"/>
    <mergeCell ref="ORI34:ORP34"/>
    <mergeCell ref="ORQ34:ORX34"/>
    <mergeCell ref="ORY34:OSF34"/>
    <mergeCell ref="OSG34:OSN34"/>
    <mergeCell ref="OPM34:OPT34"/>
    <mergeCell ref="OPU34:OQB34"/>
    <mergeCell ref="OQC34:OQJ34"/>
    <mergeCell ref="OQK34:OQR34"/>
    <mergeCell ref="OQS34:OQZ34"/>
    <mergeCell ref="ONY34:OOF34"/>
    <mergeCell ref="OOG34:OON34"/>
    <mergeCell ref="OOO34:OOV34"/>
    <mergeCell ref="OOW34:OPD34"/>
    <mergeCell ref="OPE34:OPL34"/>
    <mergeCell ref="OMK34:OMR34"/>
    <mergeCell ref="OMS34:OMZ34"/>
    <mergeCell ref="ONA34:ONH34"/>
    <mergeCell ref="ONI34:ONP34"/>
    <mergeCell ref="ONQ34:ONX34"/>
    <mergeCell ref="OKW34:OLD34"/>
    <mergeCell ref="OLE34:OLL34"/>
    <mergeCell ref="OLM34:OLT34"/>
    <mergeCell ref="OLU34:OMB34"/>
    <mergeCell ref="OMC34:OMJ34"/>
    <mergeCell ref="OJI34:OJP34"/>
    <mergeCell ref="OJQ34:OJX34"/>
    <mergeCell ref="OJY34:OKF34"/>
    <mergeCell ref="OKG34:OKN34"/>
    <mergeCell ref="OKO34:OKV34"/>
    <mergeCell ref="OHU34:OIB34"/>
    <mergeCell ref="OIC34:OIJ34"/>
    <mergeCell ref="OIK34:OIR34"/>
    <mergeCell ref="OIS34:OIZ34"/>
    <mergeCell ref="OJA34:OJH34"/>
    <mergeCell ref="OGG34:OGN34"/>
    <mergeCell ref="OGO34:OGV34"/>
    <mergeCell ref="OGW34:OHD34"/>
    <mergeCell ref="OHE34:OHL34"/>
    <mergeCell ref="OHM34:OHT34"/>
    <mergeCell ref="OES34:OEZ34"/>
    <mergeCell ref="OFA34:OFH34"/>
    <mergeCell ref="OFI34:OFP34"/>
    <mergeCell ref="OFQ34:OFX34"/>
    <mergeCell ref="OFY34:OGF34"/>
    <mergeCell ref="ODE34:ODL34"/>
    <mergeCell ref="ODM34:ODT34"/>
    <mergeCell ref="ODU34:OEB34"/>
    <mergeCell ref="OEC34:OEJ34"/>
    <mergeCell ref="OEK34:OER34"/>
    <mergeCell ref="OBQ34:OBX34"/>
    <mergeCell ref="OBY34:OCF34"/>
    <mergeCell ref="OCG34:OCN34"/>
    <mergeCell ref="OCO34:OCV34"/>
    <mergeCell ref="OCW34:ODD34"/>
    <mergeCell ref="OAC34:OAJ34"/>
    <mergeCell ref="OAK34:OAR34"/>
    <mergeCell ref="OAS34:OAZ34"/>
    <mergeCell ref="OBA34:OBH34"/>
    <mergeCell ref="OBI34:OBP34"/>
    <mergeCell ref="NYO34:NYV34"/>
    <mergeCell ref="NYW34:NZD34"/>
    <mergeCell ref="NZE34:NZL34"/>
    <mergeCell ref="NZM34:NZT34"/>
    <mergeCell ref="NZU34:OAB34"/>
    <mergeCell ref="NXA34:NXH34"/>
    <mergeCell ref="NXI34:NXP34"/>
    <mergeCell ref="NXQ34:NXX34"/>
    <mergeCell ref="NXY34:NYF34"/>
    <mergeCell ref="NYG34:NYN34"/>
    <mergeCell ref="NVM34:NVT34"/>
    <mergeCell ref="NVU34:NWB34"/>
    <mergeCell ref="NWC34:NWJ34"/>
    <mergeCell ref="NWK34:NWR34"/>
    <mergeCell ref="NWS34:NWZ34"/>
    <mergeCell ref="NTY34:NUF34"/>
    <mergeCell ref="NUG34:NUN34"/>
    <mergeCell ref="NUO34:NUV34"/>
    <mergeCell ref="NUW34:NVD34"/>
    <mergeCell ref="NVE34:NVL34"/>
    <mergeCell ref="NSK34:NSR34"/>
    <mergeCell ref="NSS34:NSZ34"/>
    <mergeCell ref="NTA34:NTH34"/>
    <mergeCell ref="NTI34:NTP34"/>
    <mergeCell ref="NTQ34:NTX34"/>
    <mergeCell ref="NQW34:NRD34"/>
    <mergeCell ref="NRE34:NRL34"/>
    <mergeCell ref="NRM34:NRT34"/>
    <mergeCell ref="NRU34:NSB34"/>
    <mergeCell ref="NSC34:NSJ34"/>
    <mergeCell ref="NPI34:NPP34"/>
    <mergeCell ref="NPQ34:NPX34"/>
    <mergeCell ref="NPY34:NQF34"/>
    <mergeCell ref="NQG34:NQN34"/>
    <mergeCell ref="NQO34:NQV34"/>
    <mergeCell ref="NNU34:NOB34"/>
    <mergeCell ref="NOC34:NOJ34"/>
    <mergeCell ref="NOK34:NOR34"/>
    <mergeCell ref="NOS34:NOZ34"/>
    <mergeCell ref="NPA34:NPH34"/>
    <mergeCell ref="NMG34:NMN34"/>
    <mergeCell ref="NMO34:NMV34"/>
    <mergeCell ref="NMW34:NND34"/>
    <mergeCell ref="NNE34:NNL34"/>
    <mergeCell ref="NNM34:NNT34"/>
    <mergeCell ref="NKS34:NKZ34"/>
    <mergeCell ref="NLA34:NLH34"/>
    <mergeCell ref="NLI34:NLP34"/>
    <mergeCell ref="NLQ34:NLX34"/>
    <mergeCell ref="NLY34:NMF34"/>
    <mergeCell ref="NJE34:NJL34"/>
    <mergeCell ref="NJM34:NJT34"/>
    <mergeCell ref="NJU34:NKB34"/>
    <mergeCell ref="NKC34:NKJ34"/>
    <mergeCell ref="NKK34:NKR34"/>
    <mergeCell ref="NHQ34:NHX34"/>
    <mergeCell ref="NHY34:NIF34"/>
    <mergeCell ref="NIG34:NIN34"/>
    <mergeCell ref="NIO34:NIV34"/>
    <mergeCell ref="NIW34:NJD34"/>
    <mergeCell ref="NGC34:NGJ34"/>
    <mergeCell ref="NGK34:NGR34"/>
    <mergeCell ref="NGS34:NGZ34"/>
    <mergeCell ref="NHA34:NHH34"/>
    <mergeCell ref="NHI34:NHP34"/>
    <mergeCell ref="NEO34:NEV34"/>
    <mergeCell ref="NEW34:NFD34"/>
    <mergeCell ref="NFE34:NFL34"/>
    <mergeCell ref="NFM34:NFT34"/>
    <mergeCell ref="NFU34:NGB34"/>
    <mergeCell ref="NDA34:NDH34"/>
    <mergeCell ref="NDI34:NDP34"/>
    <mergeCell ref="NDQ34:NDX34"/>
    <mergeCell ref="NDY34:NEF34"/>
    <mergeCell ref="NEG34:NEN34"/>
    <mergeCell ref="NBM34:NBT34"/>
    <mergeCell ref="NBU34:NCB34"/>
    <mergeCell ref="NCC34:NCJ34"/>
    <mergeCell ref="NCK34:NCR34"/>
    <mergeCell ref="NCS34:NCZ34"/>
    <mergeCell ref="MZY34:NAF34"/>
    <mergeCell ref="NAG34:NAN34"/>
    <mergeCell ref="NAO34:NAV34"/>
    <mergeCell ref="NAW34:NBD34"/>
    <mergeCell ref="NBE34:NBL34"/>
    <mergeCell ref="MYK34:MYR34"/>
    <mergeCell ref="MYS34:MYZ34"/>
    <mergeCell ref="MZA34:MZH34"/>
    <mergeCell ref="MZI34:MZP34"/>
    <mergeCell ref="MZQ34:MZX34"/>
    <mergeCell ref="MWW34:MXD34"/>
    <mergeCell ref="MXE34:MXL34"/>
    <mergeCell ref="MXM34:MXT34"/>
    <mergeCell ref="MXU34:MYB34"/>
    <mergeCell ref="MYC34:MYJ34"/>
    <mergeCell ref="MVI34:MVP34"/>
    <mergeCell ref="MVQ34:MVX34"/>
    <mergeCell ref="MVY34:MWF34"/>
    <mergeCell ref="MWG34:MWN34"/>
    <mergeCell ref="MWO34:MWV34"/>
    <mergeCell ref="MTU34:MUB34"/>
    <mergeCell ref="MUC34:MUJ34"/>
    <mergeCell ref="MUK34:MUR34"/>
    <mergeCell ref="MUS34:MUZ34"/>
    <mergeCell ref="MVA34:MVH34"/>
    <mergeCell ref="MSG34:MSN34"/>
    <mergeCell ref="MSO34:MSV34"/>
    <mergeCell ref="MSW34:MTD34"/>
    <mergeCell ref="MTE34:MTL34"/>
    <mergeCell ref="MTM34:MTT34"/>
    <mergeCell ref="MQS34:MQZ34"/>
    <mergeCell ref="MRA34:MRH34"/>
    <mergeCell ref="MRI34:MRP34"/>
    <mergeCell ref="MRQ34:MRX34"/>
    <mergeCell ref="MRY34:MSF34"/>
    <mergeCell ref="MPE34:MPL34"/>
    <mergeCell ref="MPM34:MPT34"/>
    <mergeCell ref="MPU34:MQB34"/>
    <mergeCell ref="MQC34:MQJ34"/>
    <mergeCell ref="MQK34:MQR34"/>
    <mergeCell ref="MNQ34:MNX34"/>
    <mergeCell ref="MNY34:MOF34"/>
    <mergeCell ref="MOG34:MON34"/>
    <mergeCell ref="MOO34:MOV34"/>
    <mergeCell ref="MOW34:MPD34"/>
    <mergeCell ref="MMC34:MMJ34"/>
    <mergeCell ref="MMK34:MMR34"/>
    <mergeCell ref="MMS34:MMZ34"/>
    <mergeCell ref="MNA34:MNH34"/>
    <mergeCell ref="MNI34:MNP34"/>
    <mergeCell ref="MKO34:MKV34"/>
    <mergeCell ref="MKW34:MLD34"/>
    <mergeCell ref="MLE34:MLL34"/>
    <mergeCell ref="MLM34:MLT34"/>
    <mergeCell ref="MLU34:MMB34"/>
    <mergeCell ref="MJA34:MJH34"/>
    <mergeCell ref="MJI34:MJP34"/>
    <mergeCell ref="MJQ34:MJX34"/>
    <mergeCell ref="MJY34:MKF34"/>
    <mergeCell ref="MKG34:MKN34"/>
    <mergeCell ref="MHM34:MHT34"/>
    <mergeCell ref="MHU34:MIB34"/>
    <mergeCell ref="MIC34:MIJ34"/>
    <mergeCell ref="MIK34:MIR34"/>
    <mergeCell ref="MIS34:MIZ34"/>
    <mergeCell ref="MFY34:MGF34"/>
    <mergeCell ref="MGG34:MGN34"/>
    <mergeCell ref="MGO34:MGV34"/>
    <mergeCell ref="MGW34:MHD34"/>
    <mergeCell ref="MHE34:MHL34"/>
    <mergeCell ref="MEK34:MER34"/>
    <mergeCell ref="MES34:MEZ34"/>
    <mergeCell ref="MFA34:MFH34"/>
    <mergeCell ref="MFI34:MFP34"/>
    <mergeCell ref="MFQ34:MFX34"/>
    <mergeCell ref="MCW34:MDD34"/>
    <mergeCell ref="MDE34:MDL34"/>
    <mergeCell ref="MDM34:MDT34"/>
    <mergeCell ref="MDU34:MEB34"/>
    <mergeCell ref="MEC34:MEJ34"/>
    <mergeCell ref="MBI34:MBP34"/>
    <mergeCell ref="MBQ34:MBX34"/>
    <mergeCell ref="MBY34:MCF34"/>
    <mergeCell ref="MCG34:MCN34"/>
    <mergeCell ref="MCO34:MCV34"/>
    <mergeCell ref="LZU34:MAB34"/>
    <mergeCell ref="MAC34:MAJ34"/>
    <mergeCell ref="MAK34:MAR34"/>
    <mergeCell ref="MAS34:MAZ34"/>
    <mergeCell ref="MBA34:MBH34"/>
    <mergeCell ref="LYG34:LYN34"/>
    <mergeCell ref="LYO34:LYV34"/>
    <mergeCell ref="LYW34:LZD34"/>
    <mergeCell ref="LZE34:LZL34"/>
    <mergeCell ref="LZM34:LZT34"/>
    <mergeCell ref="LWS34:LWZ34"/>
    <mergeCell ref="LXA34:LXH34"/>
    <mergeCell ref="LXI34:LXP34"/>
    <mergeCell ref="LXQ34:LXX34"/>
    <mergeCell ref="LXY34:LYF34"/>
    <mergeCell ref="LVE34:LVL34"/>
    <mergeCell ref="LVM34:LVT34"/>
    <mergeCell ref="LVU34:LWB34"/>
    <mergeCell ref="LWC34:LWJ34"/>
    <mergeCell ref="LWK34:LWR34"/>
    <mergeCell ref="LTQ34:LTX34"/>
    <mergeCell ref="LTY34:LUF34"/>
    <mergeCell ref="LUG34:LUN34"/>
    <mergeCell ref="LUO34:LUV34"/>
    <mergeCell ref="LUW34:LVD34"/>
    <mergeCell ref="LSC34:LSJ34"/>
    <mergeCell ref="LSK34:LSR34"/>
    <mergeCell ref="LSS34:LSZ34"/>
    <mergeCell ref="LTA34:LTH34"/>
    <mergeCell ref="LTI34:LTP34"/>
    <mergeCell ref="LQO34:LQV34"/>
    <mergeCell ref="LQW34:LRD34"/>
    <mergeCell ref="LRE34:LRL34"/>
    <mergeCell ref="LRM34:LRT34"/>
    <mergeCell ref="LRU34:LSB34"/>
    <mergeCell ref="LPA34:LPH34"/>
    <mergeCell ref="LPI34:LPP34"/>
    <mergeCell ref="LPQ34:LPX34"/>
    <mergeCell ref="LPY34:LQF34"/>
    <mergeCell ref="LQG34:LQN34"/>
    <mergeCell ref="LNM34:LNT34"/>
    <mergeCell ref="LNU34:LOB34"/>
    <mergeCell ref="LOC34:LOJ34"/>
    <mergeCell ref="LOK34:LOR34"/>
    <mergeCell ref="LOS34:LOZ34"/>
    <mergeCell ref="LLY34:LMF34"/>
    <mergeCell ref="LMG34:LMN34"/>
    <mergeCell ref="LMO34:LMV34"/>
    <mergeCell ref="LMW34:LND34"/>
    <mergeCell ref="LNE34:LNL34"/>
    <mergeCell ref="LKK34:LKR34"/>
    <mergeCell ref="LKS34:LKZ34"/>
    <mergeCell ref="LLA34:LLH34"/>
    <mergeCell ref="LLI34:LLP34"/>
    <mergeCell ref="LLQ34:LLX34"/>
    <mergeCell ref="LIW34:LJD34"/>
    <mergeCell ref="LJE34:LJL34"/>
    <mergeCell ref="LJM34:LJT34"/>
    <mergeCell ref="LJU34:LKB34"/>
    <mergeCell ref="LKC34:LKJ34"/>
    <mergeCell ref="LHI34:LHP34"/>
    <mergeCell ref="LHQ34:LHX34"/>
    <mergeCell ref="LHY34:LIF34"/>
    <mergeCell ref="LIG34:LIN34"/>
    <mergeCell ref="LIO34:LIV34"/>
    <mergeCell ref="LFU34:LGB34"/>
    <mergeCell ref="LGC34:LGJ34"/>
    <mergeCell ref="LGK34:LGR34"/>
    <mergeCell ref="LGS34:LGZ34"/>
    <mergeCell ref="LHA34:LHH34"/>
    <mergeCell ref="LEG34:LEN34"/>
    <mergeCell ref="LEO34:LEV34"/>
    <mergeCell ref="LEW34:LFD34"/>
    <mergeCell ref="LFE34:LFL34"/>
    <mergeCell ref="LFM34:LFT34"/>
    <mergeCell ref="LCS34:LCZ34"/>
    <mergeCell ref="LDA34:LDH34"/>
    <mergeCell ref="LDI34:LDP34"/>
    <mergeCell ref="LDQ34:LDX34"/>
    <mergeCell ref="LDY34:LEF34"/>
    <mergeCell ref="LBE34:LBL34"/>
    <mergeCell ref="LBM34:LBT34"/>
    <mergeCell ref="LBU34:LCB34"/>
    <mergeCell ref="LCC34:LCJ34"/>
    <mergeCell ref="LCK34:LCR34"/>
    <mergeCell ref="KZQ34:KZX34"/>
    <mergeCell ref="KZY34:LAF34"/>
    <mergeCell ref="LAG34:LAN34"/>
    <mergeCell ref="LAO34:LAV34"/>
    <mergeCell ref="LAW34:LBD34"/>
    <mergeCell ref="KYC34:KYJ34"/>
    <mergeCell ref="KYK34:KYR34"/>
    <mergeCell ref="KYS34:KYZ34"/>
    <mergeCell ref="KZA34:KZH34"/>
    <mergeCell ref="KZI34:KZP34"/>
    <mergeCell ref="KWO34:KWV34"/>
    <mergeCell ref="KWW34:KXD34"/>
    <mergeCell ref="KXE34:KXL34"/>
    <mergeCell ref="KXM34:KXT34"/>
    <mergeCell ref="KXU34:KYB34"/>
    <mergeCell ref="KVA34:KVH34"/>
    <mergeCell ref="KVI34:KVP34"/>
    <mergeCell ref="KVQ34:KVX34"/>
    <mergeCell ref="KVY34:KWF34"/>
    <mergeCell ref="KWG34:KWN34"/>
    <mergeCell ref="KTM34:KTT34"/>
    <mergeCell ref="KTU34:KUB34"/>
    <mergeCell ref="KUC34:KUJ34"/>
    <mergeCell ref="KUK34:KUR34"/>
    <mergeCell ref="KUS34:KUZ34"/>
    <mergeCell ref="KRY34:KSF34"/>
    <mergeCell ref="KSG34:KSN34"/>
    <mergeCell ref="KSO34:KSV34"/>
    <mergeCell ref="KSW34:KTD34"/>
    <mergeCell ref="KTE34:KTL34"/>
    <mergeCell ref="KQK34:KQR34"/>
    <mergeCell ref="KQS34:KQZ34"/>
    <mergeCell ref="KRA34:KRH34"/>
    <mergeCell ref="KRI34:KRP34"/>
    <mergeCell ref="KRQ34:KRX34"/>
    <mergeCell ref="KOW34:KPD34"/>
    <mergeCell ref="KPE34:KPL34"/>
    <mergeCell ref="KPM34:KPT34"/>
    <mergeCell ref="KPU34:KQB34"/>
    <mergeCell ref="KQC34:KQJ34"/>
    <mergeCell ref="KNI34:KNP34"/>
    <mergeCell ref="KNQ34:KNX34"/>
    <mergeCell ref="KNY34:KOF34"/>
    <mergeCell ref="KOG34:KON34"/>
    <mergeCell ref="KOO34:KOV34"/>
    <mergeCell ref="KLU34:KMB34"/>
    <mergeCell ref="KMC34:KMJ34"/>
    <mergeCell ref="KMK34:KMR34"/>
    <mergeCell ref="KMS34:KMZ34"/>
    <mergeCell ref="KNA34:KNH34"/>
    <mergeCell ref="KKG34:KKN34"/>
    <mergeCell ref="KKO34:KKV34"/>
    <mergeCell ref="KKW34:KLD34"/>
    <mergeCell ref="KLE34:KLL34"/>
    <mergeCell ref="KLM34:KLT34"/>
    <mergeCell ref="KIS34:KIZ34"/>
    <mergeCell ref="KJA34:KJH34"/>
    <mergeCell ref="KJI34:KJP34"/>
    <mergeCell ref="KJQ34:KJX34"/>
    <mergeCell ref="KJY34:KKF34"/>
    <mergeCell ref="KHE34:KHL34"/>
    <mergeCell ref="KHM34:KHT34"/>
    <mergeCell ref="KHU34:KIB34"/>
    <mergeCell ref="KIC34:KIJ34"/>
    <mergeCell ref="KIK34:KIR34"/>
    <mergeCell ref="KFQ34:KFX34"/>
    <mergeCell ref="KFY34:KGF34"/>
    <mergeCell ref="KGG34:KGN34"/>
    <mergeCell ref="KGO34:KGV34"/>
    <mergeCell ref="KGW34:KHD34"/>
    <mergeCell ref="KEC34:KEJ34"/>
    <mergeCell ref="KEK34:KER34"/>
    <mergeCell ref="KES34:KEZ34"/>
    <mergeCell ref="KFA34:KFH34"/>
    <mergeCell ref="KFI34:KFP34"/>
    <mergeCell ref="KCO34:KCV34"/>
    <mergeCell ref="KCW34:KDD34"/>
    <mergeCell ref="KDE34:KDL34"/>
    <mergeCell ref="KDM34:KDT34"/>
    <mergeCell ref="KDU34:KEB34"/>
    <mergeCell ref="KBA34:KBH34"/>
    <mergeCell ref="KBI34:KBP34"/>
    <mergeCell ref="KBQ34:KBX34"/>
    <mergeCell ref="KBY34:KCF34"/>
    <mergeCell ref="KCG34:KCN34"/>
    <mergeCell ref="JZM34:JZT34"/>
    <mergeCell ref="JZU34:KAB34"/>
    <mergeCell ref="KAC34:KAJ34"/>
    <mergeCell ref="KAK34:KAR34"/>
    <mergeCell ref="KAS34:KAZ34"/>
    <mergeCell ref="JXY34:JYF34"/>
    <mergeCell ref="JYG34:JYN34"/>
    <mergeCell ref="JYO34:JYV34"/>
    <mergeCell ref="JYW34:JZD34"/>
    <mergeCell ref="JZE34:JZL34"/>
    <mergeCell ref="JWK34:JWR34"/>
    <mergeCell ref="JWS34:JWZ34"/>
    <mergeCell ref="JXA34:JXH34"/>
    <mergeCell ref="JXI34:JXP34"/>
    <mergeCell ref="JXQ34:JXX34"/>
    <mergeCell ref="JUW34:JVD34"/>
    <mergeCell ref="JVE34:JVL34"/>
    <mergeCell ref="JVM34:JVT34"/>
    <mergeCell ref="JVU34:JWB34"/>
    <mergeCell ref="JWC34:JWJ34"/>
    <mergeCell ref="JTI34:JTP34"/>
    <mergeCell ref="JTQ34:JTX34"/>
    <mergeCell ref="JTY34:JUF34"/>
    <mergeCell ref="JUG34:JUN34"/>
    <mergeCell ref="JUO34:JUV34"/>
    <mergeCell ref="JRU34:JSB34"/>
    <mergeCell ref="JSC34:JSJ34"/>
    <mergeCell ref="JSK34:JSR34"/>
    <mergeCell ref="JSS34:JSZ34"/>
    <mergeCell ref="JTA34:JTH34"/>
    <mergeCell ref="JQG34:JQN34"/>
    <mergeCell ref="JQO34:JQV34"/>
    <mergeCell ref="JQW34:JRD34"/>
    <mergeCell ref="JRE34:JRL34"/>
    <mergeCell ref="JRM34:JRT34"/>
    <mergeCell ref="JOS34:JOZ34"/>
    <mergeCell ref="JPA34:JPH34"/>
    <mergeCell ref="JPI34:JPP34"/>
    <mergeCell ref="JPQ34:JPX34"/>
    <mergeCell ref="JPY34:JQF34"/>
    <mergeCell ref="JNE34:JNL34"/>
    <mergeCell ref="JNM34:JNT34"/>
    <mergeCell ref="JNU34:JOB34"/>
    <mergeCell ref="JOC34:JOJ34"/>
    <mergeCell ref="JOK34:JOR34"/>
    <mergeCell ref="JLQ34:JLX34"/>
    <mergeCell ref="JLY34:JMF34"/>
    <mergeCell ref="JMG34:JMN34"/>
    <mergeCell ref="JMO34:JMV34"/>
    <mergeCell ref="JMW34:JND34"/>
    <mergeCell ref="JKC34:JKJ34"/>
    <mergeCell ref="JKK34:JKR34"/>
    <mergeCell ref="JKS34:JKZ34"/>
    <mergeCell ref="JLA34:JLH34"/>
    <mergeCell ref="JLI34:JLP34"/>
    <mergeCell ref="JIO34:JIV34"/>
    <mergeCell ref="JIW34:JJD34"/>
    <mergeCell ref="JJE34:JJL34"/>
    <mergeCell ref="JJM34:JJT34"/>
    <mergeCell ref="JJU34:JKB34"/>
    <mergeCell ref="JHA34:JHH34"/>
    <mergeCell ref="JHI34:JHP34"/>
    <mergeCell ref="JHQ34:JHX34"/>
    <mergeCell ref="JHY34:JIF34"/>
    <mergeCell ref="JIG34:JIN34"/>
    <mergeCell ref="JFM34:JFT34"/>
    <mergeCell ref="JFU34:JGB34"/>
    <mergeCell ref="JGC34:JGJ34"/>
    <mergeCell ref="JGK34:JGR34"/>
    <mergeCell ref="JGS34:JGZ34"/>
    <mergeCell ref="JDY34:JEF34"/>
    <mergeCell ref="JEG34:JEN34"/>
    <mergeCell ref="JEO34:JEV34"/>
    <mergeCell ref="JEW34:JFD34"/>
    <mergeCell ref="JFE34:JFL34"/>
    <mergeCell ref="JCK34:JCR34"/>
    <mergeCell ref="JCS34:JCZ34"/>
    <mergeCell ref="JDA34:JDH34"/>
    <mergeCell ref="JDI34:JDP34"/>
    <mergeCell ref="JDQ34:JDX34"/>
    <mergeCell ref="JAW34:JBD34"/>
    <mergeCell ref="JBE34:JBL34"/>
    <mergeCell ref="JBM34:JBT34"/>
    <mergeCell ref="JBU34:JCB34"/>
    <mergeCell ref="JCC34:JCJ34"/>
    <mergeCell ref="IZI34:IZP34"/>
    <mergeCell ref="IZQ34:IZX34"/>
    <mergeCell ref="IZY34:JAF34"/>
    <mergeCell ref="JAG34:JAN34"/>
    <mergeCell ref="JAO34:JAV34"/>
    <mergeCell ref="IXU34:IYB34"/>
    <mergeCell ref="IYC34:IYJ34"/>
    <mergeCell ref="IYK34:IYR34"/>
    <mergeCell ref="IYS34:IYZ34"/>
    <mergeCell ref="IZA34:IZH34"/>
    <mergeCell ref="IWG34:IWN34"/>
    <mergeCell ref="IWO34:IWV34"/>
    <mergeCell ref="IWW34:IXD34"/>
    <mergeCell ref="IXE34:IXL34"/>
    <mergeCell ref="IXM34:IXT34"/>
    <mergeCell ref="IUS34:IUZ34"/>
    <mergeCell ref="IVA34:IVH34"/>
    <mergeCell ref="IVI34:IVP34"/>
    <mergeCell ref="IVQ34:IVX34"/>
    <mergeCell ref="IVY34:IWF34"/>
    <mergeCell ref="ITE34:ITL34"/>
    <mergeCell ref="ITM34:ITT34"/>
    <mergeCell ref="ITU34:IUB34"/>
    <mergeCell ref="IUC34:IUJ34"/>
    <mergeCell ref="IUK34:IUR34"/>
    <mergeCell ref="IRQ34:IRX34"/>
    <mergeCell ref="IRY34:ISF34"/>
    <mergeCell ref="ISG34:ISN34"/>
    <mergeCell ref="ISO34:ISV34"/>
    <mergeCell ref="ISW34:ITD34"/>
    <mergeCell ref="IQC34:IQJ34"/>
    <mergeCell ref="IQK34:IQR34"/>
    <mergeCell ref="IQS34:IQZ34"/>
    <mergeCell ref="IRA34:IRH34"/>
    <mergeCell ref="IRI34:IRP34"/>
    <mergeCell ref="IOO34:IOV34"/>
    <mergeCell ref="IOW34:IPD34"/>
    <mergeCell ref="IPE34:IPL34"/>
    <mergeCell ref="IPM34:IPT34"/>
    <mergeCell ref="IPU34:IQB34"/>
    <mergeCell ref="INA34:INH34"/>
    <mergeCell ref="INI34:INP34"/>
    <mergeCell ref="INQ34:INX34"/>
    <mergeCell ref="INY34:IOF34"/>
    <mergeCell ref="IOG34:ION34"/>
    <mergeCell ref="ILM34:ILT34"/>
    <mergeCell ref="ILU34:IMB34"/>
    <mergeCell ref="IMC34:IMJ34"/>
    <mergeCell ref="IMK34:IMR34"/>
    <mergeCell ref="IMS34:IMZ34"/>
    <mergeCell ref="IJY34:IKF34"/>
    <mergeCell ref="IKG34:IKN34"/>
    <mergeCell ref="IKO34:IKV34"/>
    <mergeCell ref="IKW34:ILD34"/>
    <mergeCell ref="ILE34:ILL34"/>
    <mergeCell ref="IIK34:IIR34"/>
    <mergeCell ref="IIS34:IIZ34"/>
    <mergeCell ref="IJA34:IJH34"/>
    <mergeCell ref="IJI34:IJP34"/>
    <mergeCell ref="IJQ34:IJX34"/>
    <mergeCell ref="IGW34:IHD34"/>
    <mergeCell ref="IHE34:IHL34"/>
    <mergeCell ref="IHM34:IHT34"/>
    <mergeCell ref="IHU34:IIB34"/>
    <mergeCell ref="IIC34:IIJ34"/>
    <mergeCell ref="IFI34:IFP34"/>
    <mergeCell ref="IFQ34:IFX34"/>
    <mergeCell ref="IFY34:IGF34"/>
    <mergeCell ref="IGG34:IGN34"/>
    <mergeCell ref="IGO34:IGV34"/>
    <mergeCell ref="IDU34:IEB34"/>
    <mergeCell ref="IEC34:IEJ34"/>
    <mergeCell ref="IEK34:IER34"/>
    <mergeCell ref="IES34:IEZ34"/>
    <mergeCell ref="IFA34:IFH34"/>
    <mergeCell ref="ICG34:ICN34"/>
    <mergeCell ref="ICO34:ICV34"/>
    <mergeCell ref="ICW34:IDD34"/>
    <mergeCell ref="IDE34:IDL34"/>
    <mergeCell ref="IDM34:IDT34"/>
    <mergeCell ref="IAS34:IAZ34"/>
    <mergeCell ref="IBA34:IBH34"/>
    <mergeCell ref="IBI34:IBP34"/>
    <mergeCell ref="IBQ34:IBX34"/>
    <mergeCell ref="IBY34:ICF34"/>
    <mergeCell ref="HZE34:HZL34"/>
    <mergeCell ref="HZM34:HZT34"/>
    <mergeCell ref="HZU34:IAB34"/>
    <mergeCell ref="IAC34:IAJ34"/>
    <mergeCell ref="IAK34:IAR34"/>
    <mergeCell ref="HXQ34:HXX34"/>
    <mergeCell ref="HXY34:HYF34"/>
    <mergeCell ref="HYG34:HYN34"/>
    <mergeCell ref="HYO34:HYV34"/>
    <mergeCell ref="HYW34:HZD34"/>
    <mergeCell ref="HWC34:HWJ34"/>
    <mergeCell ref="HWK34:HWR34"/>
    <mergeCell ref="HWS34:HWZ34"/>
    <mergeCell ref="HXA34:HXH34"/>
    <mergeCell ref="HXI34:HXP34"/>
    <mergeCell ref="HUO34:HUV34"/>
    <mergeCell ref="HUW34:HVD34"/>
    <mergeCell ref="HVE34:HVL34"/>
    <mergeCell ref="HVM34:HVT34"/>
    <mergeCell ref="HVU34:HWB34"/>
    <mergeCell ref="HTA34:HTH34"/>
    <mergeCell ref="HTI34:HTP34"/>
    <mergeCell ref="HTQ34:HTX34"/>
    <mergeCell ref="HTY34:HUF34"/>
    <mergeCell ref="HUG34:HUN34"/>
    <mergeCell ref="HRM34:HRT34"/>
    <mergeCell ref="HRU34:HSB34"/>
    <mergeCell ref="HSC34:HSJ34"/>
    <mergeCell ref="HSK34:HSR34"/>
    <mergeCell ref="HSS34:HSZ34"/>
    <mergeCell ref="HPY34:HQF34"/>
    <mergeCell ref="HQG34:HQN34"/>
    <mergeCell ref="HQO34:HQV34"/>
    <mergeCell ref="HQW34:HRD34"/>
    <mergeCell ref="HRE34:HRL34"/>
    <mergeCell ref="HOK34:HOR34"/>
    <mergeCell ref="HOS34:HOZ34"/>
    <mergeCell ref="HPA34:HPH34"/>
    <mergeCell ref="HPI34:HPP34"/>
    <mergeCell ref="HPQ34:HPX34"/>
    <mergeCell ref="HMW34:HND34"/>
    <mergeCell ref="HNE34:HNL34"/>
    <mergeCell ref="HNM34:HNT34"/>
    <mergeCell ref="HNU34:HOB34"/>
    <mergeCell ref="HOC34:HOJ34"/>
    <mergeCell ref="HLI34:HLP34"/>
    <mergeCell ref="HLQ34:HLX34"/>
    <mergeCell ref="HLY34:HMF34"/>
    <mergeCell ref="HMG34:HMN34"/>
    <mergeCell ref="HMO34:HMV34"/>
    <mergeCell ref="HJU34:HKB34"/>
    <mergeCell ref="HKC34:HKJ34"/>
    <mergeCell ref="HKK34:HKR34"/>
    <mergeCell ref="HKS34:HKZ34"/>
    <mergeCell ref="HLA34:HLH34"/>
    <mergeCell ref="HIG34:HIN34"/>
    <mergeCell ref="HIO34:HIV34"/>
    <mergeCell ref="HIW34:HJD34"/>
    <mergeCell ref="HJE34:HJL34"/>
    <mergeCell ref="HJM34:HJT34"/>
    <mergeCell ref="HGS34:HGZ34"/>
    <mergeCell ref="HHA34:HHH34"/>
    <mergeCell ref="HHI34:HHP34"/>
    <mergeCell ref="HHQ34:HHX34"/>
    <mergeCell ref="HHY34:HIF34"/>
    <mergeCell ref="HFE34:HFL34"/>
    <mergeCell ref="HFM34:HFT34"/>
    <mergeCell ref="HFU34:HGB34"/>
    <mergeCell ref="HGC34:HGJ34"/>
    <mergeCell ref="HGK34:HGR34"/>
    <mergeCell ref="HDQ34:HDX34"/>
    <mergeCell ref="HDY34:HEF34"/>
    <mergeCell ref="HEG34:HEN34"/>
    <mergeCell ref="HEO34:HEV34"/>
    <mergeCell ref="HEW34:HFD34"/>
    <mergeCell ref="HCC34:HCJ34"/>
    <mergeCell ref="HCK34:HCR34"/>
    <mergeCell ref="HCS34:HCZ34"/>
    <mergeCell ref="HDA34:HDH34"/>
    <mergeCell ref="HDI34:HDP34"/>
    <mergeCell ref="HAO34:HAV34"/>
    <mergeCell ref="HAW34:HBD34"/>
    <mergeCell ref="HBE34:HBL34"/>
    <mergeCell ref="HBM34:HBT34"/>
    <mergeCell ref="HBU34:HCB34"/>
    <mergeCell ref="GZA34:GZH34"/>
    <mergeCell ref="GZI34:GZP34"/>
    <mergeCell ref="GZQ34:GZX34"/>
    <mergeCell ref="GZY34:HAF34"/>
    <mergeCell ref="HAG34:HAN34"/>
    <mergeCell ref="GXM34:GXT34"/>
    <mergeCell ref="GXU34:GYB34"/>
    <mergeCell ref="GYC34:GYJ34"/>
    <mergeCell ref="GYK34:GYR34"/>
    <mergeCell ref="GYS34:GYZ34"/>
    <mergeCell ref="GVY34:GWF34"/>
    <mergeCell ref="GWG34:GWN34"/>
    <mergeCell ref="GWO34:GWV34"/>
    <mergeCell ref="GWW34:GXD34"/>
    <mergeCell ref="GXE34:GXL34"/>
    <mergeCell ref="GUK34:GUR34"/>
    <mergeCell ref="GUS34:GUZ34"/>
    <mergeCell ref="GVA34:GVH34"/>
    <mergeCell ref="GVI34:GVP34"/>
    <mergeCell ref="GVQ34:GVX34"/>
    <mergeCell ref="GSW34:GTD34"/>
    <mergeCell ref="GTE34:GTL34"/>
    <mergeCell ref="GTM34:GTT34"/>
    <mergeCell ref="GTU34:GUB34"/>
    <mergeCell ref="GUC34:GUJ34"/>
    <mergeCell ref="GRI34:GRP34"/>
    <mergeCell ref="GRQ34:GRX34"/>
    <mergeCell ref="GRY34:GSF34"/>
    <mergeCell ref="GSG34:GSN34"/>
    <mergeCell ref="GSO34:GSV34"/>
    <mergeCell ref="GPU34:GQB34"/>
    <mergeCell ref="GQC34:GQJ34"/>
    <mergeCell ref="GQK34:GQR34"/>
    <mergeCell ref="GQS34:GQZ34"/>
    <mergeCell ref="GRA34:GRH34"/>
    <mergeCell ref="GOG34:GON34"/>
    <mergeCell ref="GOO34:GOV34"/>
    <mergeCell ref="GOW34:GPD34"/>
    <mergeCell ref="GPE34:GPL34"/>
    <mergeCell ref="GPM34:GPT34"/>
    <mergeCell ref="GMS34:GMZ34"/>
    <mergeCell ref="GNA34:GNH34"/>
    <mergeCell ref="GNI34:GNP34"/>
    <mergeCell ref="GNQ34:GNX34"/>
    <mergeCell ref="GNY34:GOF34"/>
    <mergeCell ref="GLE34:GLL34"/>
    <mergeCell ref="GLM34:GLT34"/>
    <mergeCell ref="GLU34:GMB34"/>
    <mergeCell ref="GMC34:GMJ34"/>
    <mergeCell ref="GMK34:GMR34"/>
    <mergeCell ref="GJQ34:GJX34"/>
    <mergeCell ref="GJY34:GKF34"/>
    <mergeCell ref="GKG34:GKN34"/>
    <mergeCell ref="GKO34:GKV34"/>
    <mergeCell ref="GKW34:GLD34"/>
    <mergeCell ref="GIC34:GIJ34"/>
    <mergeCell ref="GIK34:GIR34"/>
    <mergeCell ref="GIS34:GIZ34"/>
    <mergeCell ref="GJA34:GJH34"/>
    <mergeCell ref="GJI34:GJP34"/>
    <mergeCell ref="GGO34:GGV34"/>
    <mergeCell ref="GGW34:GHD34"/>
    <mergeCell ref="GHE34:GHL34"/>
    <mergeCell ref="GHM34:GHT34"/>
    <mergeCell ref="GHU34:GIB34"/>
    <mergeCell ref="GFA34:GFH34"/>
    <mergeCell ref="GFI34:GFP34"/>
    <mergeCell ref="GFQ34:GFX34"/>
    <mergeCell ref="GFY34:GGF34"/>
    <mergeCell ref="GGG34:GGN34"/>
    <mergeCell ref="GDM34:GDT34"/>
    <mergeCell ref="GDU34:GEB34"/>
    <mergeCell ref="GEC34:GEJ34"/>
    <mergeCell ref="GEK34:GER34"/>
    <mergeCell ref="GES34:GEZ34"/>
    <mergeCell ref="GBY34:GCF34"/>
    <mergeCell ref="GCG34:GCN34"/>
    <mergeCell ref="GCO34:GCV34"/>
    <mergeCell ref="GCW34:GDD34"/>
    <mergeCell ref="GDE34:GDL34"/>
    <mergeCell ref="GAK34:GAR34"/>
    <mergeCell ref="GAS34:GAZ34"/>
    <mergeCell ref="GBA34:GBH34"/>
    <mergeCell ref="GBI34:GBP34"/>
    <mergeCell ref="GBQ34:GBX34"/>
    <mergeCell ref="FYW34:FZD34"/>
    <mergeCell ref="FZE34:FZL34"/>
    <mergeCell ref="FZM34:FZT34"/>
    <mergeCell ref="FZU34:GAB34"/>
    <mergeCell ref="GAC34:GAJ34"/>
    <mergeCell ref="FXI34:FXP34"/>
    <mergeCell ref="FXQ34:FXX34"/>
    <mergeCell ref="FXY34:FYF34"/>
    <mergeCell ref="FYG34:FYN34"/>
    <mergeCell ref="FYO34:FYV34"/>
    <mergeCell ref="FVU34:FWB34"/>
    <mergeCell ref="FWC34:FWJ34"/>
    <mergeCell ref="FWK34:FWR34"/>
    <mergeCell ref="FWS34:FWZ34"/>
    <mergeCell ref="FXA34:FXH34"/>
    <mergeCell ref="FUG34:FUN34"/>
    <mergeCell ref="FUO34:FUV34"/>
    <mergeCell ref="FUW34:FVD34"/>
    <mergeCell ref="FVE34:FVL34"/>
    <mergeCell ref="FVM34:FVT34"/>
    <mergeCell ref="FSS34:FSZ34"/>
    <mergeCell ref="FTA34:FTH34"/>
    <mergeCell ref="FTI34:FTP34"/>
    <mergeCell ref="FTQ34:FTX34"/>
    <mergeCell ref="FTY34:FUF34"/>
    <mergeCell ref="FRE34:FRL34"/>
    <mergeCell ref="FRM34:FRT34"/>
    <mergeCell ref="FRU34:FSB34"/>
    <mergeCell ref="FSC34:FSJ34"/>
    <mergeCell ref="FSK34:FSR34"/>
    <mergeCell ref="FPQ34:FPX34"/>
    <mergeCell ref="FPY34:FQF34"/>
    <mergeCell ref="FQG34:FQN34"/>
    <mergeCell ref="FQO34:FQV34"/>
    <mergeCell ref="FQW34:FRD34"/>
    <mergeCell ref="FOC34:FOJ34"/>
    <mergeCell ref="FOK34:FOR34"/>
    <mergeCell ref="FOS34:FOZ34"/>
    <mergeCell ref="FPA34:FPH34"/>
    <mergeCell ref="FPI34:FPP34"/>
    <mergeCell ref="FMO34:FMV34"/>
    <mergeCell ref="FMW34:FND34"/>
    <mergeCell ref="FNE34:FNL34"/>
    <mergeCell ref="FNM34:FNT34"/>
    <mergeCell ref="FNU34:FOB34"/>
    <mergeCell ref="FLA34:FLH34"/>
    <mergeCell ref="FLI34:FLP34"/>
    <mergeCell ref="FLQ34:FLX34"/>
    <mergeCell ref="FLY34:FMF34"/>
    <mergeCell ref="FMG34:FMN34"/>
    <mergeCell ref="FJM34:FJT34"/>
    <mergeCell ref="FJU34:FKB34"/>
    <mergeCell ref="FKC34:FKJ34"/>
    <mergeCell ref="FKK34:FKR34"/>
    <mergeCell ref="FKS34:FKZ34"/>
    <mergeCell ref="FHY34:FIF34"/>
    <mergeCell ref="FIG34:FIN34"/>
    <mergeCell ref="FIO34:FIV34"/>
    <mergeCell ref="FIW34:FJD34"/>
    <mergeCell ref="FJE34:FJL34"/>
    <mergeCell ref="FGK34:FGR34"/>
    <mergeCell ref="FGS34:FGZ34"/>
    <mergeCell ref="FHA34:FHH34"/>
    <mergeCell ref="FHI34:FHP34"/>
    <mergeCell ref="FHQ34:FHX34"/>
    <mergeCell ref="FEW34:FFD34"/>
    <mergeCell ref="FFE34:FFL34"/>
    <mergeCell ref="FFM34:FFT34"/>
    <mergeCell ref="FFU34:FGB34"/>
    <mergeCell ref="FGC34:FGJ34"/>
    <mergeCell ref="FDI34:FDP34"/>
    <mergeCell ref="FDQ34:FDX34"/>
    <mergeCell ref="FDY34:FEF34"/>
    <mergeCell ref="FEG34:FEN34"/>
    <mergeCell ref="FEO34:FEV34"/>
    <mergeCell ref="FBU34:FCB34"/>
    <mergeCell ref="FCC34:FCJ34"/>
    <mergeCell ref="FCK34:FCR34"/>
    <mergeCell ref="FCS34:FCZ34"/>
    <mergeCell ref="FDA34:FDH34"/>
    <mergeCell ref="FAG34:FAN34"/>
    <mergeCell ref="FAO34:FAV34"/>
    <mergeCell ref="FAW34:FBD34"/>
    <mergeCell ref="FBE34:FBL34"/>
    <mergeCell ref="FBM34:FBT34"/>
    <mergeCell ref="EYS34:EYZ34"/>
    <mergeCell ref="EZA34:EZH34"/>
    <mergeCell ref="EZI34:EZP34"/>
    <mergeCell ref="EZQ34:EZX34"/>
    <mergeCell ref="EZY34:FAF34"/>
    <mergeCell ref="EXE34:EXL34"/>
    <mergeCell ref="EXM34:EXT34"/>
    <mergeCell ref="EXU34:EYB34"/>
    <mergeCell ref="EYC34:EYJ34"/>
    <mergeCell ref="EYK34:EYR34"/>
    <mergeCell ref="EVQ34:EVX34"/>
    <mergeCell ref="EVY34:EWF34"/>
    <mergeCell ref="EWG34:EWN34"/>
    <mergeCell ref="EWO34:EWV34"/>
    <mergeCell ref="EWW34:EXD34"/>
    <mergeCell ref="EUC34:EUJ34"/>
    <mergeCell ref="EUK34:EUR34"/>
    <mergeCell ref="EUS34:EUZ34"/>
    <mergeCell ref="EVA34:EVH34"/>
    <mergeCell ref="EVI34:EVP34"/>
    <mergeCell ref="ESO34:ESV34"/>
    <mergeCell ref="ESW34:ETD34"/>
    <mergeCell ref="ETE34:ETL34"/>
    <mergeCell ref="ETM34:ETT34"/>
    <mergeCell ref="ETU34:EUB34"/>
    <mergeCell ref="ERA34:ERH34"/>
    <mergeCell ref="ERI34:ERP34"/>
    <mergeCell ref="ERQ34:ERX34"/>
    <mergeCell ref="ERY34:ESF34"/>
    <mergeCell ref="ESG34:ESN34"/>
    <mergeCell ref="EPM34:EPT34"/>
    <mergeCell ref="EPU34:EQB34"/>
    <mergeCell ref="EQC34:EQJ34"/>
    <mergeCell ref="EQK34:EQR34"/>
    <mergeCell ref="EQS34:EQZ34"/>
    <mergeCell ref="ENY34:EOF34"/>
    <mergeCell ref="EOG34:EON34"/>
    <mergeCell ref="EOO34:EOV34"/>
    <mergeCell ref="EOW34:EPD34"/>
    <mergeCell ref="EPE34:EPL34"/>
    <mergeCell ref="EMK34:EMR34"/>
    <mergeCell ref="EMS34:EMZ34"/>
    <mergeCell ref="ENA34:ENH34"/>
    <mergeCell ref="ENI34:ENP34"/>
    <mergeCell ref="ENQ34:ENX34"/>
    <mergeCell ref="EKW34:ELD34"/>
    <mergeCell ref="ELE34:ELL34"/>
    <mergeCell ref="ELM34:ELT34"/>
    <mergeCell ref="ELU34:EMB34"/>
    <mergeCell ref="EMC34:EMJ34"/>
    <mergeCell ref="EJI34:EJP34"/>
    <mergeCell ref="EJQ34:EJX34"/>
    <mergeCell ref="EJY34:EKF34"/>
    <mergeCell ref="EKG34:EKN34"/>
    <mergeCell ref="EKO34:EKV34"/>
    <mergeCell ref="EHU34:EIB34"/>
    <mergeCell ref="EIC34:EIJ34"/>
    <mergeCell ref="EIK34:EIR34"/>
    <mergeCell ref="EIS34:EIZ34"/>
    <mergeCell ref="EJA34:EJH34"/>
    <mergeCell ref="EGG34:EGN34"/>
    <mergeCell ref="EGO34:EGV34"/>
    <mergeCell ref="EGW34:EHD34"/>
    <mergeCell ref="EHE34:EHL34"/>
    <mergeCell ref="EHM34:EHT34"/>
    <mergeCell ref="EES34:EEZ34"/>
    <mergeCell ref="EFA34:EFH34"/>
    <mergeCell ref="EFI34:EFP34"/>
    <mergeCell ref="EFQ34:EFX34"/>
    <mergeCell ref="EFY34:EGF34"/>
    <mergeCell ref="EDE34:EDL34"/>
    <mergeCell ref="EDM34:EDT34"/>
    <mergeCell ref="EDU34:EEB34"/>
    <mergeCell ref="EEC34:EEJ34"/>
    <mergeCell ref="EEK34:EER34"/>
    <mergeCell ref="EBQ34:EBX34"/>
    <mergeCell ref="EBY34:ECF34"/>
    <mergeCell ref="ECG34:ECN34"/>
    <mergeCell ref="ECO34:ECV34"/>
    <mergeCell ref="ECW34:EDD34"/>
    <mergeCell ref="EAC34:EAJ34"/>
    <mergeCell ref="EAK34:EAR34"/>
    <mergeCell ref="EAS34:EAZ34"/>
    <mergeCell ref="EBA34:EBH34"/>
    <mergeCell ref="EBI34:EBP34"/>
    <mergeCell ref="DYO34:DYV34"/>
    <mergeCell ref="DYW34:DZD34"/>
    <mergeCell ref="DZE34:DZL34"/>
    <mergeCell ref="DZM34:DZT34"/>
    <mergeCell ref="DZU34:EAB34"/>
    <mergeCell ref="DXA34:DXH34"/>
    <mergeCell ref="DXI34:DXP34"/>
    <mergeCell ref="DXQ34:DXX34"/>
    <mergeCell ref="DXY34:DYF34"/>
    <mergeCell ref="DYG34:DYN34"/>
    <mergeCell ref="DVM34:DVT34"/>
    <mergeCell ref="DVU34:DWB34"/>
    <mergeCell ref="DWC34:DWJ34"/>
    <mergeCell ref="DWK34:DWR34"/>
    <mergeCell ref="DWS34:DWZ34"/>
    <mergeCell ref="DTY34:DUF34"/>
    <mergeCell ref="DUG34:DUN34"/>
    <mergeCell ref="DUO34:DUV34"/>
    <mergeCell ref="DUW34:DVD34"/>
    <mergeCell ref="DVE34:DVL34"/>
    <mergeCell ref="DSK34:DSR34"/>
    <mergeCell ref="DSS34:DSZ34"/>
    <mergeCell ref="DTA34:DTH34"/>
    <mergeCell ref="DTI34:DTP34"/>
    <mergeCell ref="DTQ34:DTX34"/>
    <mergeCell ref="DQW34:DRD34"/>
    <mergeCell ref="DRE34:DRL34"/>
    <mergeCell ref="DRM34:DRT34"/>
    <mergeCell ref="DRU34:DSB34"/>
    <mergeCell ref="DSC34:DSJ34"/>
    <mergeCell ref="DPI34:DPP34"/>
    <mergeCell ref="DPQ34:DPX34"/>
    <mergeCell ref="DPY34:DQF34"/>
    <mergeCell ref="DQG34:DQN34"/>
    <mergeCell ref="DQO34:DQV34"/>
    <mergeCell ref="DNU34:DOB34"/>
    <mergeCell ref="DOC34:DOJ34"/>
    <mergeCell ref="DOK34:DOR34"/>
    <mergeCell ref="DOS34:DOZ34"/>
    <mergeCell ref="DPA34:DPH34"/>
    <mergeCell ref="DMG34:DMN34"/>
    <mergeCell ref="DMO34:DMV34"/>
    <mergeCell ref="DMW34:DND34"/>
    <mergeCell ref="DNE34:DNL34"/>
    <mergeCell ref="DNM34:DNT34"/>
    <mergeCell ref="DKS34:DKZ34"/>
    <mergeCell ref="DLA34:DLH34"/>
    <mergeCell ref="DLI34:DLP34"/>
    <mergeCell ref="DLQ34:DLX34"/>
    <mergeCell ref="DLY34:DMF34"/>
    <mergeCell ref="DJE34:DJL34"/>
    <mergeCell ref="DJM34:DJT34"/>
    <mergeCell ref="DJU34:DKB34"/>
    <mergeCell ref="DKC34:DKJ34"/>
    <mergeCell ref="DKK34:DKR34"/>
    <mergeCell ref="DHQ34:DHX34"/>
    <mergeCell ref="DHY34:DIF34"/>
    <mergeCell ref="DIG34:DIN34"/>
    <mergeCell ref="DIO34:DIV34"/>
    <mergeCell ref="DIW34:DJD34"/>
    <mergeCell ref="DGC34:DGJ34"/>
    <mergeCell ref="DGK34:DGR34"/>
    <mergeCell ref="DGS34:DGZ34"/>
    <mergeCell ref="DHA34:DHH34"/>
    <mergeCell ref="DHI34:DHP34"/>
    <mergeCell ref="DEO34:DEV34"/>
    <mergeCell ref="DEW34:DFD34"/>
    <mergeCell ref="DFE34:DFL34"/>
    <mergeCell ref="DFM34:DFT34"/>
    <mergeCell ref="DFU34:DGB34"/>
    <mergeCell ref="DDA34:DDH34"/>
    <mergeCell ref="DDI34:DDP34"/>
    <mergeCell ref="DDQ34:DDX34"/>
    <mergeCell ref="DDY34:DEF34"/>
    <mergeCell ref="DEG34:DEN34"/>
    <mergeCell ref="DBM34:DBT34"/>
    <mergeCell ref="DBU34:DCB34"/>
    <mergeCell ref="DCC34:DCJ34"/>
    <mergeCell ref="DCK34:DCR34"/>
    <mergeCell ref="DCS34:DCZ34"/>
    <mergeCell ref="CZY34:DAF34"/>
    <mergeCell ref="DAG34:DAN34"/>
    <mergeCell ref="DAO34:DAV34"/>
    <mergeCell ref="DAW34:DBD34"/>
    <mergeCell ref="DBE34:DBL34"/>
    <mergeCell ref="CYK34:CYR34"/>
    <mergeCell ref="CYS34:CYZ34"/>
    <mergeCell ref="CZA34:CZH34"/>
    <mergeCell ref="CZI34:CZP34"/>
    <mergeCell ref="CZQ34:CZX34"/>
    <mergeCell ref="CWW34:CXD34"/>
    <mergeCell ref="CXE34:CXL34"/>
    <mergeCell ref="CXM34:CXT34"/>
    <mergeCell ref="CXU34:CYB34"/>
    <mergeCell ref="CYC34:CYJ34"/>
    <mergeCell ref="CVI34:CVP34"/>
    <mergeCell ref="CVQ34:CVX34"/>
    <mergeCell ref="CVY34:CWF34"/>
    <mergeCell ref="CWG34:CWN34"/>
    <mergeCell ref="CWO34:CWV34"/>
    <mergeCell ref="CTU34:CUB34"/>
    <mergeCell ref="CUC34:CUJ34"/>
    <mergeCell ref="CUK34:CUR34"/>
    <mergeCell ref="CUS34:CUZ34"/>
    <mergeCell ref="CVA34:CVH34"/>
    <mergeCell ref="CSG34:CSN34"/>
    <mergeCell ref="CSO34:CSV34"/>
    <mergeCell ref="CSW34:CTD34"/>
    <mergeCell ref="CTE34:CTL34"/>
    <mergeCell ref="CTM34:CTT34"/>
    <mergeCell ref="CQS34:CQZ34"/>
    <mergeCell ref="CRA34:CRH34"/>
    <mergeCell ref="CRI34:CRP34"/>
    <mergeCell ref="CRQ34:CRX34"/>
    <mergeCell ref="CRY34:CSF34"/>
    <mergeCell ref="CPE34:CPL34"/>
    <mergeCell ref="CPM34:CPT34"/>
    <mergeCell ref="CPU34:CQB34"/>
    <mergeCell ref="CQC34:CQJ34"/>
    <mergeCell ref="CQK34:CQR34"/>
    <mergeCell ref="CNQ34:CNX34"/>
    <mergeCell ref="CNY34:COF34"/>
    <mergeCell ref="COG34:CON34"/>
    <mergeCell ref="COO34:COV34"/>
    <mergeCell ref="COW34:CPD34"/>
    <mergeCell ref="CMC34:CMJ34"/>
    <mergeCell ref="CMK34:CMR34"/>
    <mergeCell ref="CMS34:CMZ34"/>
    <mergeCell ref="CNA34:CNH34"/>
    <mergeCell ref="CNI34:CNP34"/>
    <mergeCell ref="CKO34:CKV34"/>
    <mergeCell ref="CKW34:CLD34"/>
    <mergeCell ref="CLE34:CLL34"/>
    <mergeCell ref="CLM34:CLT34"/>
    <mergeCell ref="CLU34:CMB34"/>
    <mergeCell ref="CJA34:CJH34"/>
    <mergeCell ref="CJI34:CJP34"/>
    <mergeCell ref="CJQ34:CJX34"/>
    <mergeCell ref="CJY34:CKF34"/>
    <mergeCell ref="CKG34:CKN34"/>
    <mergeCell ref="CHM34:CHT34"/>
    <mergeCell ref="CHU34:CIB34"/>
    <mergeCell ref="CIC34:CIJ34"/>
    <mergeCell ref="CIK34:CIR34"/>
    <mergeCell ref="CIS34:CIZ34"/>
    <mergeCell ref="CFY34:CGF34"/>
    <mergeCell ref="CGG34:CGN34"/>
    <mergeCell ref="CGO34:CGV34"/>
    <mergeCell ref="CGW34:CHD34"/>
    <mergeCell ref="CHE34:CHL34"/>
    <mergeCell ref="CEK34:CER34"/>
    <mergeCell ref="CES34:CEZ34"/>
    <mergeCell ref="CFA34:CFH34"/>
    <mergeCell ref="CFI34:CFP34"/>
    <mergeCell ref="CFQ34:CFX34"/>
    <mergeCell ref="CCW34:CDD34"/>
    <mergeCell ref="CDE34:CDL34"/>
    <mergeCell ref="CDM34:CDT34"/>
    <mergeCell ref="CDU34:CEB34"/>
    <mergeCell ref="CEC34:CEJ34"/>
    <mergeCell ref="CBI34:CBP34"/>
    <mergeCell ref="CBQ34:CBX34"/>
    <mergeCell ref="CBY34:CCF34"/>
    <mergeCell ref="CCG34:CCN34"/>
    <mergeCell ref="CCO34:CCV34"/>
    <mergeCell ref="BZU34:CAB34"/>
    <mergeCell ref="CAC34:CAJ34"/>
    <mergeCell ref="CAK34:CAR34"/>
    <mergeCell ref="CAS34:CAZ34"/>
    <mergeCell ref="CBA34:CBH34"/>
    <mergeCell ref="BYG34:BYN34"/>
    <mergeCell ref="BYO34:BYV34"/>
    <mergeCell ref="BYW34:BZD34"/>
    <mergeCell ref="BZE34:BZL34"/>
    <mergeCell ref="BZM34:BZT34"/>
    <mergeCell ref="BWS34:BWZ34"/>
    <mergeCell ref="BXA34:BXH34"/>
    <mergeCell ref="BXI34:BXP34"/>
    <mergeCell ref="BXQ34:BXX34"/>
    <mergeCell ref="BXY34:BYF34"/>
    <mergeCell ref="BVE34:BVL34"/>
    <mergeCell ref="BVM34:BVT34"/>
    <mergeCell ref="BVU34:BWB34"/>
    <mergeCell ref="BWC34:BWJ34"/>
    <mergeCell ref="BWK34:BWR34"/>
    <mergeCell ref="BTQ34:BTX34"/>
    <mergeCell ref="BTY34:BUF34"/>
    <mergeCell ref="BUG34:BUN34"/>
    <mergeCell ref="BUO34:BUV34"/>
    <mergeCell ref="BUW34:BVD34"/>
    <mergeCell ref="BSC34:BSJ34"/>
    <mergeCell ref="BSK34:BSR34"/>
    <mergeCell ref="BSS34:BSZ34"/>
    <mergeCell ref="BTA34:BTH34"/>
    <mergeCell ref="BTI34:BTP34"/>
    <mergeCell ref="BQO34:BQV34"/>
    <mergeCell ref="BQW34:BRD34"/>
    <mergeCell ref="BRE34:BRL34"/>
    <mergeCell ref="BRM34:BRT34"/>
    <mergeCell ref="BRU34:BSB34"/>
    <mergeCell ref="BPA34:BPH34"/>
    <mergeCell ref="BPI34:BPP34"/>
    <mergeCell ref="BPQ34:BPX34"/>
    <mergeCell ref="BPY34:BQF34"/>
    <mergeCell ref="BQG34:BQN34"/>
    <mergeCell ref="BNM34:BNT34"/>
    <mergeCell ref="BNU34:BOB34"/>
    <mergeCell ref="BOC34:BOJ34"/>
    <mergeCell ref="BOK34:BOR34"/>
    <mergeCell ref="BOS34:BOZ34"/>
    <mergeCell ref="BLY34:BMF34"/>
    <mergeCell ref="BMG34:BMN34"/>
    <mergeCell ref="BMO34:BMV34"/>
    <mergeCell ref="BMW34:BND34"/>
    <mergeCell ref="BNE34:BNL34"/>
    <mergeCell ref="BKK34:BKR34"/>
    <mergeCell ref="BKS34:BKZ34"/>
    <mergeCell ref="BLA34:BLH34"/>
    <mergeCell ref="BLI34:BLP34"/>
    <mergeCell ref="BLQ34:BLX34"/>
    <mergeCell ref="BIW34:BJD34"/>
    <mergeCell ref="BJE34:BJL34"/>
    <mergeCell ref="BJM34:BJT34"/>
    <mergeCell ref="BJU34:BKB34"/>
    <mergeCell ref="BKC34:BKJ34"/>
    <mergeCell ref="BHI34:BHP34"/>
    <mergeCell ref="BHQ34:BHX34"/>
    <mergeCell ref="BHY34:BIF34"/>
    <mergeCell ref="BIG34:BIN34"/>
    <mergeCell ref="BIO34:BIV34"/>
    <mergeCell ref="BFU34:BGB34"/>
    <mergeCell ref="BGC34:BGJ34"/>
    <mergeCell ref="BGK34:BGR34"/>
    <mergeCell ref="BGS34:BGZ34"/>
    <mergeCell ref="BHA34:BHH34"/>
    <mergeCell ref="BEG34:BEN34"/>
    <mergeCell ref="BEO34:BEV34"/>
    <mergeCell ref="BEW34:BFD34"/>
    <mergeCell ref="BFE34:BFL34"/>
    <mergeCell ref="BFM34:BFT34"/>
    <mergeCell ref="BCS34:BCZ34"/>
    <mergeCell ref="BDA34:BDH34"/>
    <mergeCell ref="BDI34:BDP34"/>
    <mergeCell ref="BDQ34:BDX34"/>
    <mergeCell ref="BDY34:BEF34"/>
    <mergeCell ref="BBE34:BBL34"/>
    <mergeCell ref="BBM34:BBT34"/>
    <mergeCell ref="BBU34:BCB34"/>
    <mergeCell ref="BCC34:BCJ34"/>
    <mergeCell ref="BCK34:BCR34"/>
    <mergeCell ref="AZQ34:AZX34"/>
    <mergeCell ref="AZY34:BAF34"/>
    <mergeCell ref="BAG34:BAN34"/>
    <mergeCell ref="BAO34:BAV34"/>
    <mergeCell ref="BAW34:BBD34"/>
    <mergeCell ref="AYC34:AYJ34"/>
    <mergeCell ref="AYK34:AYR34"/>
    <mergeCell ref="AYS34:AYZ34"/>
    <mergeCell ref="AZA34:AZH34"/>
    <mergeCell ref="AZI34:AZP34"/>
    <mergeCell ref="AWO34:AWV34"/>
    <mergeCell ref="AWW34:AXD34"/>
    <mergeCell ref="AXE34:AXL34"/>
    <mergeCell ref="AXM34:AXT34"/>
    <mergeCell ref="AXU34:AYB34"/>
    <mergeCell ref="AVA34:AVH34"/>
    <mergeCell ref="AVI34:AVP34"/>
    <mergeCell ref="AVQ34:AVX34"/>
    <mergeCell ref="AVY34:AWF34"/>
    <mergeCell ref="AWG34:AWN34"/>
    <mergeCell ref="ATM34:ATT34"/>
    <mergeCell ref="ATU34:AUB34"/>
    <mergeCell ref="AUC34:AUJ34"/>
    <mergeCell ref="AUK34:AUR34"/>
    <mergeCell ref="AUS34:AUZ34"/>
    <mergeCell ref="ARY34:ASF34"/>
    <mergeCell ref="ASG34:ASN34"/>
    <mergeCell ref="ASO34:ASV34"/>
    <mergeCell ref="ASW34:ATD34"/>
    <mergeCell ref="ATE34:ATL34"/>
    <mergeCell ref="AQK34:AQR34"/>
    <mergeCell ref="AQS34:AQZ34"/>
    <mergeCell ref="ARA34:ARH34"/>
    <mergeCell ref="ARI34:ARP34"/>
    <mergeCell ref="ARQ34:ARX34"/>
    <mergeCell ref="AOW34:APD34"/>
    <mergeCell ref="APE34:APL34"/>
    <mergeCell ref="APM34:APT34"/>
    <mergeCell ref="APU34:AQB34"/>
    <mergeCell ref="AQC34:AQJ34"/>
    <mergeCell ref="ANI34:ANP34"/>
    <mergeCell ref="ANQ34:ANX34"/>
    <mergeCell ref="ANY34:AOF34"/>
    <mergeCell ref="AOG34:AON34"/>
    <mergeCell ref="AOO34:AOV34"/>
    <mergeCell ref="ALU34:AMB34"/>
    <mergeCell ref="AMC34:AMJ34"/>
    <mergeCell ref="AMK34:AMR34"/>
    <mergeCell ref="AMS34:AMZ34"/>
    <mergeCell ref="ANA34:ANH34"/>
    <mergeCell ref="AKG34:AKN34"/>
    <mergeCell ref="AKO34:AKV34"/>
    <mergeCell ref="AKW34:ALD34"/>
    <mergeCell ref="ALE34:ALL34"/>
    <mergeCell ref="ALM34:ALT34"/>
    <mergeCell ref="AIS34:AIZ34"/>
    <mergeCell ref="AJA34:AJH34"/>
    <mergeCell ref="AJI34:AJP34"/>
    <mergeCell ref="AJQ34:AJX34"/>
    <mergeCell ref="AJY34:AKF34"/>
    <mergeCell ref="AHE34:AHL34"/>
    <mergeCell ref="AHM34:AHT34"/>
    <mergeCell ref="AHU34:AIB34"/>
    <mergeCell ref="AIC34:AIJ34"/>
    <mergeCell ref="AIK34:AIR34"/>
    <mergeCell ref="AFQ34:AFX34"/>
    <mergeCell ref="AFY34:AGF34"/>
    <mergeCell ref="AGG34:AGN34"/>
    <mergeCell ref="AGO34:AGV34"/>
    <mergeCell ref="AGW34:AHD34"/>
    <mergeCell ref="AEC34:AEJ34"/>
    <mergeCell ref="AEK34:AER34"/>
    <mergeCell ref="AES34:AEZ34"/>
    <mergeCell ref="AFA34:AFH34"/>
    <mergeCell ref="AFI34:AFP34"/>
    <mergeCell ref="ACO34:ACV34"/>
    <mergeCell ref="ACW34:ADD34"/>
    <mergeCell ref="ADE34:ADL34"/>
    <mergeCell ref="ADM34:ADT34"/>
    <mergeCell ref="ADU34:AEB34"/>
    <mergeCell ref="ABA34:ABH34"/>
    <mergeCell ref="ABI34:ABP34"/>
    <mergeCell ref="ABQ34:ABX34"/>
    <mergeCell ref="ABY34:ACF34"/>
    <mergeCell ref="ACG34:ACN34"/>
    <mergeCell ref="ZM34:ZT34"/>
    <mergeCell ref="ZU34:AAB34"/>
    <mergeCell ref="AAC34:AAJ34"/>
    <mergeCell ref="AAK34:AAR34"/>
    <mergeCell ref="AAS34:AAZ34"/>
    <mergeCell ref="XY34:YF34"/>
    <mergeCell ref="YG34:YN34"/>
    <mergeCell ref="YO34:YV34"/>
    <mergeCell ref="YW34:ZD34"/>
    <mergeCell ref="ZE34:ZL34"/>
    <mergeCell ref="WK34:WR34"/>
    <mergeCell ref="WS34:WZ34"/>
    <mergeCell ref="XA34:XH34"/>
    <mergeCell ref="XI34:XP34"/>
    <mergeCell ref="XQ34:XX34"/>
    <mergeCell ref="UW34:VD34"/>
    <mergeCell ref="VE34:VL34"/>
    <mergeCell ref="VM34:VT34"/>
    <mergeCell ref="VU34:WB34"/>
    <mergeCell ref="WC34:WJ34"/>
    <mergeCell ref="TI34:TP34"/>
    <mergeCell ref="TQ34:TX34"/>
    <mergeCell ref="TY34:UF34"/>
    <mergeCell ref="UG34:UN34"/>
    <mergeCell ref="UO34:UV34"/>
    <mergeCell ref="RU34:SB34"/>
    <mergeCell ref="SC34:SJ34"/>
    <mergeCell ref="SK34:SR34"/>
    <mergeCell ref="SS34:SZ34"/>
    <mergeCell ref="TA34:TH34"/>
    <mergeCell ref="QG34:QN34"/>
    <mergeCell ref="QO34:QV34"/>
    <mergeCell ref="QW34:RD34"/>
    <mergeCell ref="RE34:RL34"/>
    <mergeCell ref="RM34:RT34"/>
    <mergeCell ref="OS34:OZ34"/>
    <mergeCell ref="PA34:PH34"/>
    <mergeCell ref="PI34:PP34"/>
    <mergeCell ref="PQ34:PX34"/>
    <mergeCell ref="PY34:QF34"/>
    <mergeCell ref="NE34:NL34"/>
    <mergeCell ref="NM34:NT34"/>
    <mergeCell ref="NU34:OB34"/>
    <mergeCell ref="OC34:OJ34"/>
    <mergeCell ref="OK34:OR34"/>
    <mergeCell ref="LQ34:LX34"/>
    <mergeCell ref="LY34:MF34"/>
    <mergeCell ref="MG34:MN34"/>
    <mergeCell ref="MO34:MV34"/>
    <mergeCell ref="MW34:ND34"/>
    <mergeCell ref="KC34:KJ34"/>
    <mergeCell ref="KK34:KR34"/>
    <mergeCell ref="KS34:KZ34"/>
    <mergeCell ref="LA34:LH34"/>
    <mergeCell ref="LI34:LP34"/>
    <mergeCell ref="IO34:IV34"/>
    <mergeCell ref="IW34:JD34"/>
    <mergeCell ref="JE34:JL34"/>
    <mergeCell ref="JM34:JT34"/>
    <mergeCell ref="JU34:KB34"/>
    <mergeCell ref="HA34:HH34"/>
    <mergeCell ref="HI34:HP34"/>
    <mergeCell ref="HQ34:HX34"/>
    <mergeCell ref="HY34:IF34"/>
    <mergeCell ref="IG34:IN34"/>
    <mergeCell ref="FM34:FT34"/>
    <mergeCell ref="FU34:GB34"/>
    <mergeCell ref="GC34:GJ34"/>
    <mergeCell ref="GK34:GR34"/>
    <mergeCell ref="GS34:GZ34"/>
    <mergeCell ref="A96:H96"/>
    <mergeCell ref="AW34:BD34"/>
    <mergeCell ref="BE34:BL34"/>
    <mergeCell ref="BM34:BT34"/>
    <mergeCell ref="BU34:CB34"/>
    <mergeCell ref="CC34:CJ34"/>
    <mergeCell ref="I34:P34"/>
    <mergeCell ref="Q34:X34"/>
    <mergeCell ref="Y34:AF34"/>
    <mergeCell ref="AG34:AN34"/>
    <mergeCell ref="AO34:AV34"/>
    <mergeCell ref="F74:H75"/>
    <mergeCell ref="B78:F78"/>
    <mergeCell ref="B79:F79"/>
    <mergeCell ref="A55:H55"/>
    <mergeCell ref="A57:H57"/>
    <mergeCell ref="B59:D59"/>
    <mergeCell ref="B60:D60"/>
    <mergeCell ref="F60:H60"/>
    <mergeCell ref="B61:E61"/>
    <mergeCell ref="G61:H61"/>
    <mergeCell ref="A90:E90"/>
    <mergeCell ref="F90:G90"/>
    <mergeCell ref="A91:E91"/>
    <mergeCell ref="F91:G91"/>
    <mergeCell ref="A92:E92"/>
    <mergeCell ref="F92:G92"/>
    <mergeCell ref="B17:E17"/>
    <mergeCell ref="B16:E16"/>
    <mergeCell ref="G13:H13"/>
    <mergeCell ref="A9:H9"/>
    <mergeCell ref="F11:H11"/>
    <mergeCell ref="G12:H12"/>
    <mergeCell ref="A29:H29"/>
    <mergeCell ref="DY34:EF34"/>
    <mergeCell ref="B31:E31"/>
    <mergeCell ref="A26:E26"/>
    <mergeCell ref="A24:E24"/>
    <mergeCell ref="G32:H32"/>
    <mergeCell ref="EG34:EN34"/>
    <mergeCell ref="EO34:EV34"/>
    <mergeCell ref="EW34:FD34"/>
    <mergeCell ref="FE34:FL34"/>
    <mergeCell ref="CK34:CR34"/>
    <mergeCell ref="CS34:CZ34"/>
    <mergeCell ref="DA34:DH34"/>
    <mergeCell ref="DI34:DP34"/>
    <mergeCell ref="DQ34:DX34"/>
    <mergeCell ref="B14:D14"/>
    <mergeCell ref="A93:E93"/>
    <mergeCell ref="F93:G93"/>
    <mergeCell ref="A94:E94"/>
    <mergeCell ref="F94:G94"/>
    <mergeCell ref="A4:H4"/>
    <mergeCell ref="A40:H40"/>
    <mergeCell ref="A76:H76"/>
    <mergeCell ref="A80:H80"/>
    <mergeCell ref="A71:H71"/>
    <mergeCell ref="A27:E27"/>
    <mergeCell ref="F49:F51"/>
    <mergeCell ref="G49:H51"/>
    <mergeCell ref="B50:E50"/>
    <mergeCell ref="B51:E51"/>
    <mergeCell ref="B52:E52"/>
    <mergeCell ref="G52:H52"/>
    <mergeCell ref="A42:H42"/>
    <mergeCell ref="A77:H77"/>
    <mergeCell ref="E74:E75"/>
    <mergeCell ref="F15:F17"/>
    <mergeCell ref="B43:E43"/>
    <mergeCell ref="F21:F23"/>
    <mergeCell ref="A5:H5"/>
    <mergeCell ref="G14:H14"/>
    <mergeCell ref="G15:H17"/>
    <mergeCell ref="F58:H58"/>
    <mergeCell ref="G79:H79"/>
    <mergeCell ref="F25:F27"/>
    <mergeCell ref="G26:H26"/>
    <mergeCell ref="G27:H27"/>
    <mergeCell ref="A41:F41"/>
    <mergeCell ref="A56:F56"/>
    <mergeCell ref="A3:H3"/>
    <mergeCell ref="A2:H2"/>
    <mergeCell ref="A1:H1"/>
    <mergeCell ref="A6:H6"/>
    <mergeCell ref="G18:H18"/>
    <mergeCell ref="A8:H8"/>
    <mergeCell ref="B10:D10"/>
    <mergeCell ref="B11:D11"/>
    <mergeCell ref="B12:E12"/>
    <mergeCell ref="B13:E13"/>
    <mergeCell ref="A38:B38"/>
    <mergeCell ref="C38:E38"/>
    <mergeCell ref="A37:H37"/>
    <mergeCell ref="A39:B39"/>
    <mergeCell ref="C39:E39"/>
    <mergeCell ref="A28:H28"/>
    <mergeCell ref="A33:H33"/>
    <mergeCell ref="A34:H34"/>
    <mergeCell ref="A36:B36"/>
    <mergeCell ref="C36:E36"/>
    <mergeCell ref="G21:H23"/>
    <mergeCell ref="A19:H19"/>
    <mergeCell ref="G20:H20"/>
    <mergeCell ref="B18:E18"/>
    <mergeCell ref="B20:E20"/>
    <mergeCell ref="B21:E21"/>
    <mergeCell ref="B22:E22"/>
    <mergeCell ref="B23:E23"/>
    <mergeCell ref="G24:H24"/>
    <mergeCell ref="G25:H25"/>
    <mergeCell ref="A25:E25"/>
    <mergeCell ref="B15:E15"/>
    <mergeCell ref="A97:H97"/>
    <mergeCell ref="G30:H30"/>
    <mergeCell ref="B32:E32"/>
    <mergeCell ref="B44:D44"/>
    <mergeCell ref="B45:D45"/>
    <mergeCell ref="F45:H45"/>
    <mergeCell ref="B46:E46"/>
    <mergeCell ref="G46:H46"/>
    <mergeCell ref="B47:E47"/>
    <mergeCell ref="G47:H47"/>
    <mergeCell ref="B48:E48"/>
    <mergeCell ref="G48:H48"/>
    <mergeCell ref="B49:E49"/>
    <mergeCell ref="F88:G88"/>
    <mergeCell ref="A95:H95"/>
    <mergeCell ref="A81:F81"/>
    <mergeCell ref="G81:H81"/>
    <mergeCell ref="G82:H82"/>
    <mergeCell ref="A82:F82"/>
    <mergeCell ref="A83:F83"/>
    <mergeCell ref="G83:H83"/>
    <mergeCell ref="A84:F84"/>
    <mergeCell ref="A85:F85"/>
    <mergeCell ref="G84:H84"/>
    <mergeCell ref="G85:H85"/>
    <mergeCell ref="A86:H86"/>
    <mergeCell ref="A87:E87"/>
    <mergeCell ref="A88:E88"/>
    <mergeCell ref="B53:E53"/>
    <mergeCell ref="G31:H31"/>
    <mergeCell ref="A89:E89"/>
    <mergeCell ref="F89:G89"/>
    <mergeCell ref="B58:E58"/>
    <mergeCell ref="B54:E54"/>
    <mergeCell ref="G53:H53"/>
    <mergeCell ref="G54:H54"/>
    <mergeCell ref="A70:H70"/>
    <mergeCell ref="B73:D75"/>
    <mergeCell ref="A72:A75"/>
    <mergeCell ref="F87:G87"/>
    <mergeCell ref="G62:H62"/>
    <mergeCell ref="B63:E63"/>
    <mergeCell ref="G63:H63"/>
    <mergeCell ref="B64:E64"/>
    <mergeCell ref="F64:F66"/>
    <mergeCell ref="G64:H66"/>
    <mergeCell ref="B65:E65"/>
    <mergeCell ref="B66:E66"/>
    <mergeCell ref="B67:E67"/>
    <mergeCell ref="G67:H67"/>
    <mergeCell ref="B68:E68"/>
    <mergeCell ref="G68:H68"/>
    <mergeCell ref="B69:E69"/>
    <mergeCell ref="G69:H69"/>
    <mergeCell ref="B62:E62"/>
  </mergeCells>
  <conditionalFormatting sqref="B30">
    <cfRule type="iconSet" priority="2">
      <iconSet iconSet="3Symbols">
        <cfvo type="percent" val="0"/>
        <cfvo type="num" val="0" gte="0"/>
        <cfvo type="num" val="1" gte="0"/>
      </iconSet>
    </cfRule>
  </conditionalFormatting>
  <dataValidations count="7">
    <dataValidation allowBlank="1" showInputMessage="1" sqref="G54:H54 B54:E54 B17:E18 B14:B15 E14:E15 C15:D15 A92:E92" xr:uid="{E766D7CA-BB41-48D0-AF9B-885394CDC1EE}"/>
    <dataValidation allowBlank="1" showInputMessage="1" showErrorMessage="1" prompt="INDIQUE EL PAÍS O PAÍSES DONDE PRESENTA SU DECLARACIÓN JURADA DE RENTAS" sqref="B65:E65 B50:E50" xr:uid="{B0A01D6B-0336-4C17-A72C-D5F69F6A37E1}"/>
    <dataValidation allowBlank="1" showInputMessage="1" prompt="INDIQUE EL PAÍS O PAÍSES DONDE PRESENTA SU DECLARACIÓN JURADA DE RENTAS_x000a__x000a_" sqref="B16:E16" xr:uid="{ABC6D808-6241-4A04-957C-7AB146486FE8}"/>
    <dataValidation allowBlank="1" showInputMessage="1" showErrorMessage="1" prompt="INDIQUE SU DIRECCIÓN COMPLETA_x000a_" sqref="G15:H17" xr:uid="{BB5697D7-23D7-427F-A88F-946B8A4BBBBC}"/>
    <dataValidation allowBlank="1" showInputMessage="1" showErrorMessage="1" prompt="INDIQUE SU DIRECCIÓN DE TRABAJO COMPLETA" sqref="G21:H23" xr:uid="{B72536E4-B261-4C2D-926D-AE05C5CAD291}"/>
    <dataValidation allowBlank="1" showInputMessage="1" showErrorMessage="1" prompt="SI USTED ES EMPRESARIO O INDEPENDIENTE, INDIQUE EL NOMBRE COMERCIAL DE SU NEGOCIO" sqref="A25:E25" xr:uid="{96D9BAE0-1A38-460B-B55E-8ECFFE86F884}"/>
    <dataValidation allowBlank="1" showInputMessage="1" showErrorMessage="1" prompt="SI USTED ES EMPRESARIO O INDEPENDIENTE, INDIQUE EL NÚMERO DEL AVISO DE OPERACIONES DE SU NEGOCIO" sqref="A27:E27" xr:uid="{CF9FBE9C-1920-4FB8-B4DE-12989E912E0D}"/>
  </dataValidations>
  <printOptions horizontalCentered="1" verticalCentered="1"/>
  <pageMargins left="0.53" right="0.27559055118110237" top="0.55118110236220474" bottom="0.31496062992125984" header="0.31496062992125984" footer="0.31496062992125984"/>
  <pageSetup paperSize="5" scale="4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anchor moveWithCells="1">
                  <from>
                    <xdr:col>1</xdr:col>
                    <xdr:colOff>95250</xdr:colOff>
                    <xdr:row>6</xdr:row>
                    <xdr:rowOff>38100</xdr:rowOff>
                  </from>
                  <to>
                    <xdr:col>1</xdr:col>
                    <xdr:colOff>400050</xdr:colOff>
                    <xdr:row>7</xdr:row>
                    <xdr:rowOff>38100</xdr:rowOff>
                  </to>
                </anchor>
              </controlPr>
            </control>
          </mc:Choice>
        </mc:AlternateContent>
        <mc:AlternateContent xmlns:mc="http://schemas.openxmlformats.org/markup-compatibility/2006">
          <mc:Choice Requires="x14">
            <control shapeId="3075" r:id="rId5" name="Check Box 3">
              <controlPr defaultSize="0" autoFill="0" autoLine="0" autoPict="0">
                <anchor moveWithCells="1">
                  <from>
                    <xdr:col>5</xdr:col>
                    <xdr:colOff>57150</xdr:colOff>
                    <xdr:row>6</xdr:row>
                    <xdr:rowOff>38100</xdr:rowOff>
                  </from>
                  <to>
                    <xdr:col>5</xdr:col>
                    <xdr:colOff>361950</xdr:colOff>
                    <xdr:row>7</xdr:row>
                    <xdr:rowOff>38100</xdr:rowOff>
                  </to>
                </anchor>
              </controlPr>
            </control>
          </mc:Choice>
        </mc:AlternateContent>
        <mc:AlternateContent xmlns:mc="http://schemas.openxmlformats.org/markup-compatibility/2006">
          <mc:Choice Requires="x14">
            <control shapeId="3078" r:id="rId6" name="Check Box 6">
              <controlPr defaultSize="0" autoFill="0" autoLine="0" autoPict="0">
                <anchor moveWithCells="1">
                  <from>
                    <xdr:col>0</xdr:col>
                    <xdr:colOff>133350</xdr:colOff>
                    <xdr:row>29</xdr:row>
                    <xdr:rowOff>47625</xdr:rowOff>
                  </from>
                  <to>
                    <xdr:col>0</xdr:col>
                    <xdr:colOff>438150</xdr:colOff>
                    <xdr:row>30</xdr:row>
                    <xdr:rowOff>19050</xdr:rowOff>
                  </to>
                </anchor>
              </controlPr>
            </control>
          </mc:Choice>
        </mc:AlternateContent>
        <mc:AlternateContent xmlns:mc="http://schemas.openxmlformats.org/markup-compatibility/2006">
          <mc:Choice Requires="x14">
            <control shapeId="3083" r:id="rId7" name="Check Box 11">
              <controlPr defaultSize="0" autoFill="0" autoLine="0" autoPict="0">
                <anchor moveWithCells="1">
                  <from>
                    <xdr:col>5</xdr:col>
                    <xdr:colOff>47625</xdr:colOff>
                    <xdr:row>29</xdr:row>
                    <xdr:rowOff>57150</xdr:rowOff>
                  </from>
                  <to>
                    <xdr:col>5</xdr:col>
                    <xdr:colOff>352425</xdr:colOff>
                    <xdr:row>30</xdr:row>
                    <xdr:rowOff>28575</xdr:rowOff>
                  </to>
                </anchor>
              </controlPr>
            </control>
          </mc:Choice>
        </mc:AlternateContent>
        <mc:AlternateContent xmlns:mc="http://schemas.openxmlformats.org/markup-compatibility/2006">
          <mc:Choice Requires="x14">
            <control shapeId="3084" r:id="rId8" name="Check Box 12">
              <controlPr defaultSize="0" autoFill="0" autoLine="0" autoPict="0">
                <anchor moveWithCells="1">
                  <from>
                    <xdr:col>2</xdr:col>
                    <xdr:colOff>47625</xdr:colOff>
                    <xdr:row>71</xdr:row>
                    <xdr:rowOff>66675</xdr:rowOff>
                  </from>
                  <to>
                    <xdr:col>2</xdr:col>
                    <xdr:colOff>352425</xdr:colOff>
                    <xdr:row>71</xdr:row>
                    <xdr:rowOff>285750</xdr:rowOff>
                  </to>
                </anchor>
              </controlPr>
            </control>
          </mc:Choice>
        </mc:AlternateContent>
        <mc:AlternateContent xmlns:mc="http://schemas.openxmlformats.org/markup-compatibility/2006">
          <mc:Choice Requires="x14">
            <control shapeId="3086" r:id="rId9" name="Check Box 14">
              <controlPr defaultSize="0" autoFill="0" autoLine="0" autoPict="0">
                <anchor moveWithCells="1">
                  <from>
                    <xdr:col>3</xdr:col>
                    <xdr:colOff>76200</xdr:colOff>
                    <xdr:row>71</xdr:row>
                    <xdr:rowOff>66675</xdr:rowOff>
                  </from>
                  <to>
                    <xdr:col>3</xdr:col>
                    <xdr:colOff>381000</xdr:colOff>
                    <xdr:row>71</xdr:row>
                    <xdr:rowOff>285750</xdr:rowOff>
                  </to>
                </anchor>
              </controlPr>
            </control>
          </mc:Choice>
        </mc:AlternateContent>
        <mc:AlternateContent xmlns:mc="http://schemas.openxmlformats.org/markup-compatibility/2006">
          <mc:Choice Requires="x14">
            <control shapeId="3088" r:id="rId10" name="Check Box 16">
              <controlPr defaultSize="0" autoFill="0" autoLine="0" autoPict="0">
                <anchor moveWithCells="1">
                  <from>
                    <xdr:col>6</xdr:col>
                    <xdr:colOff>409575</xdr:colOff>
                    <xdr:row>40</xdr:row>
                    <xdr:rowOff>28575</xdr:rowOff>
                  </from>
                  <to>
                    <xdr:col>6</xdr:col>
                    <xdr:colOff>714375</xdr:colOff>
                    <xdr:row>41</xdr:row>
                    <xdr:rowOff>0</xdr:rowOff>
                  </to>
                </anchor>
              </controlPr>
            </control>
          </mc:Choice>
        </mc:AlternateContent>
        <mc:AlternateContent xmlns:mc="http://schemas.openxmlformats.org/markup-compatibility/2006">
          <mc:Choice Requires="x14">
            <control shapeId="3089" r:id="rId11" name="Check Box 17">
              <controlPr defaultSize="0" autoFill="0" autoLine="0" autoPict="0">
                <anchor moveWithCells="1">
                  <from>
                    <xdr:col>7</xdr:col>
                    <xdr:colOff>85725</xdr:colOff>
                    <xdr:row>40</xdr:row>
                    <xdr:rowOff>28575</xdr:rowOff>
                  </from>
                  <to>
                    <xdr:col>7</xdr:col>
                    <xdr:colOff>390525</xdr:colOff>
                    <xdr:row>41</xdr:row>
                    <xdr:rowOff>0</xdr:rowOff>
                  </to>
                </anchor>
              </controlPr>
            </control>
          </mc:Choice>
        </mc:AlternateContent>
        <mc:AlternateContent xmlns:mc="http://schemas.openxmlformats.org/markup-compatibility/2006">
          <mc:Choice Requires="x14">
            <control shapeId="3092" r:id="rId12" name="Check Box 20">
              <controlPr defaultSize="0" autoFill="0" autoLine="0" autoPict="0">
                <anchor moveWithCells="1">
                  <from>
                    <xdr:col>1</xdr:col>
                    <xdr:colOff>295275</xdr:colOff>
                    <xdr:row>42</xdr:row>
                    <xdr:rowOff>0</xdr:rowOff>
                  </from>
                  <to>
                    <xdr:col>1</xdr:col>
                    <xdr:colOff>600075</xdr:colOff>
                    <xdr:row>42</xdr:row>
                    <xdr:rowOff>219075</xdr:rowOff>
                  </to>
                </anchor>
              </controlPr>
            </control>
          </mc:Choice>
        </mc:AlternateContent>
        <mc:AlternateContent xmlns:mc="http://schemas.openxmlformats.org/markup-compatibility/2006">
          <mc:Choice Requires="x14">
            <control shapeId="3098" r:id="rId13" name="Check Box 26">
              <controlPr defaultSize="0" autoFill="0" autoLine="0" autoPict="0">
                <anchor moveWithCells="1">
                  <from>
                    <xdr:col>3</xdr:col>
                    <xdr:colOff>390525</xdr:colOff>
                    <xdr:row>42</xdr:row>
                    <xdr:rowOff>19050</xdr:rowOff>
                  </from>
                  <to>
                    <xdr:col>4</xdr:col>
                    <xdr:colOff>38100</xdr:colOff>
                    <xdr:row>43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964554C6-361A-495F-A76B-B02ED98F27BD}">
            <x14:iconSet showValue="0" custom="1">
              <x14:cfvo type="percent">
                <xm:f>0</xm:f>
              </x14:cfvo>
              <x14:cfvo type="num">
                <xm:f>0</xm:f>
              </x14:cfvo>
              <x14:cfvo type="num" gte="0">
                <xm:f>0</xm:f>
              </x14:cfvo>
              <x14:cfIcon iconSet="3Symbols2" iconId="0"/>
              <x14:cfIcon iconSet="3Symbols2" iconId="0"/>
              <x14:cfIcon iconSet="3TrafficLights1" iconId="2"/>
            </x14:iconSet>
          </x14:cfRule>
          <xm:sqref>B30</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3C016092-CF06-4D6F-89AC-DE78C7D57125}">
          <x14:formula1>
            <xm:f>CATÁLOGO!$B$3:$B$4</xm:f>
          </x14:formula1>
          <xm:sqref>G47:H47 G62:H62</xm:sqref>
        </x14:dataValidation>
        <x14:dataValidation type="list" allowBlank="1" showInputMessage="1" showErrorMessage="1" xr:uid="{42C2C9BD-711F-432D-9CA4-2EFAADB6F780}">
          <x14:formula1>
            <xm:f>CATÁLOGO!$B$7:$B$9</xm:f>
          </x14:formula1>
          <xm:sqref>G48:H48 G14:H14 G63:H63</xm:sqref>
        </x14:dataValidation>
        <x14:dataValidation type="list" allowBlank="1" showInputMessage="1" showErrorMessage="1" xr:uid="{C144C6BA-F1A2-4D98-B9EB-0237191F173D}">
          <x14:formula1>
            <xm:f>CATÁLOGO!$B$12:$B$256</xm:f>
          </x14:formula1>
          <xm:sqref>B49:E49 B61:E62 B46:E47 B64:E64</xm:sqref>
        </x14:dataValidation>
        <x14:dataValidation type="list" allowBlank="1" showInputMessage="1" showErrorMessage="1" xr:uid="{F01714A0-2C85-44C7-9EBC-A4BA755991B9}">
          <x14:formula1>
            <xm:f>CATÁLOGO!$D$3:$D$4</xm:f>
          </x14:formula1>
          <xm:sqref>G24:H24 H56</xm:sqref>
        </x14:dataValidation>
        <x14:dataValidation type="list" allowBlank="1" xr:uid="{457A6D74-2289-4BE1-B76D-42DBBFF973EB}">
          <x14:formula1>
            <xm:f>CATÁLOGO!$D$7:$D$9</xm:f>
          </x14:formula1>
          <xm:sqref>G31:H31</xm:sqref>
        </x14:dataValidation>
        <x14:dataValidation type="list" allowBlank="1" showInputMessage="1" showErrorMessage="1" xr:uid="{04B4A1A6-83CF-4EFB-A1FA-95FE7E0728DA}">
          <x14:formula1>
            <xm:f>CATÁLOGO!$D$12:$D$20</xm:f>
          </x14:formula1>
          <xm:sqref>B31:E31</xm:sqref>
        </x14:dataValidation>
        <x14:dataValidation type="list" allowBlank="1" showInputMessage="1" xr:uid="{4EC0DB4B-8AFB-48CE-8699-8C124D92658A}">
          <x14:formula1>
            <xm:f>CATÁLOGO!$F$3:$F$73</xm:f>
          </x14:formula1>
          <xm:sqref>B68:E68 B20:E20 B53:E53 G53:H53 G68:H68</xm:sqref>
        </x14:dataValidation>
        <x14:dataValidation type="list" allowBlank="1" showInputMessage="1" xr:uid="{4E6A85B5-C3E8-49C5-8CEB-C34AF3B95319}">
          <x14:formula1>
            <xm:f>CATÁLOGO!$J$2:$J$10</xm:f>
          </x14:formula1>
          <xm:sqref>G30:H30</xm:sqref>
        </x14:dataValidation>
        <x14:dataValidation type="list" allowBlank="1" showInputMessage="1" xr:uid="{153E795E-7680-40CB-A3FF-1E69430C6443}">
          <x14:formula1>
            <xm:f>CATÁLOGO!$H$22:$H$54</xm:f>
          </x14:formula1>
          <xm:sqref>H72 F72</xm:sqref>
        </x14:dataValidation>
        <x14:dataValidation type="list" allowBlank="1" showInputMessage="1" showErrorMessage="1" xr:uid="{D9B59D41-0BE3-49D5-ABEE-0DCFFBD47AD9}">
          <x14:formula1>
            <xm:f>CATÁLOGO!$D$24:$D$26</xm:f>
          </x14:formula1>
          <xm:sqref>G82:H85</xm:sqref>
        </x14:dataValidation>
        <x14:dataValidation type="list" allowBlank="1" showInputMessage="1" xr:uid="{BEE9DEE1-3EB3-4CD3-867A-81171D1984DB}">
          <x14:formula1>
            <xm:f>CATÁLOGO!$B$12:$B$256</xm:f>
          </x14:formula1>
          <xm:sqref>B13:E13 B12:E12 G25:H27</xm:sqref>
        </x14:dataValidation>
        <x14:dataValidation type="list" allowBlank="1" showInputMessage="1" showErrorMessage="1" xr:uid="{CC81DDDE-FF75-4E03-86E3-8D324CF0DCCC}">
          <x14:formula1>
            <xm:f>CATÁLOGO!$D$33:$D$34</xm:f>
          </x14:formula1>
          <xm:sqref>B58:E58</xm:sqref>
        </x14:dataValidation>
        <x14:dataValidation type="list" allowBlank="1" showInputMessage="1" prompt="INDIQUE SU OCUPACIÓN ACTUAL " xr:uid="{D033017B-728D-42E8-921D-E9E5EF1B9AF6}">
          <x14:formula1>
            <xm:f>CATÁLOGO!$F$3:$F$73</xm:f>
          </x14:formula1>
          <xm:sqref>G20:H20</xm:sqref>
        </x14:dataValidation>
        <x14:dataValidation type="list" allowBlank="1" showInputMessage="1" showErrorMessage="1" xr:uid="{5769DA26-9AC2-4295-BCDF-DFEA7BA47ABE}">
          <x14:formula1>
            <xm:f>CATÁLOGO!$H$3:$H$7</xm:f>
          </x14:formula1>
          <xm:sqref>B30:E30</xm:sqref>
        </x14:dataValidation>
        <x14:dataValidation type="list" allowBlank="1" showInputMessage="1" xr:uid="{52AF163C-7923-4321-9792-23B73780754F}">
          <x14:formula1>
            <xm:f>CATÁLOGO!$B$3:$B$4</xm:f>
          </x14:formula1>
          <xm:sqref>G13:H13</xm:sqref>
        </x14:dataValidation>
        <x14:dataValidation type="list" allowBlank="1" showInputMessage="1" showErrorMessage="1" xr:uid="{16BC9B9B-D5BB-437F-9E8C-FB5B878A1B8E}">
          <x14:formula1>
            <xm:f>CATÁLOGO!$J$13:$J$20</xm:f>
          </x14:formula1>
          <xm:sqref>G32:H32 B32:E32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AF63B-719E-43FD-A979-02FFC16DCC15}">
  <dimension ref="A1:AC69"/>
  <sheetViews>
    <sheetView zoomScale="80" zoomScaleNormal="80" workbookViewId="0">
      <selection activeCell="A36" sqref="A36:H36"/>
    </sheetView>
  </sheetViews>
  <sheetFormatPr baseColWidth="10" defaultColWidth="9.140625" defaultRowHeight="15"/>
  <cols>
    <col min="2" max="2" width="15" customWidth="1"/>
    <col min="8" max="8" width="21.42578125" customWidth="1"/>
    <col min="14" max="14" width="31.42578125" customWidth="1"/>
    <col min="15" max="15" width="4.28515625" customWidth="1"/>
    <col min="17" max="17" width="18.42578125" customWidth="1"/>
    <col min="29" max="29" width="29.28515625" customWidth="1"/>
  </cols>
  <sheetData>
    <row r="1" spans="1:14" ht="18.75">
      <c r="A1" s="603" t="s">
        <v>2250</v>
      </c>
      <c r="B1" s="604"/>
      <c r="C1" s="604"/>
      <c r="D1" s="604"/>
      <c r="E1" s="604"/>
      <c r="F1" s="604"/>
      <c r="G1" s="604"/>
      <c r="H1" s="604"/>
      <c r="I1" s="604"/>
      <c r="J1" s="604"/>
      <c r="K1" s="604"/>
      <c r="L1" s="604"/>
      <c r="M1" s="604"/>
      <c r="N1" s="604"/>
    </row>
    <row r="2" spans="1:14" ht="18.75">
      <c r="A2" s="605" t="s">
        <v>2228</v>
      </c>
      <c r="B2" s="606"/>
      <c r="C2" s="606"/>
      <c r="D2" s="606"/>
      <c r="E2" s="606"/>
      <c r="F2" s="606"/>
      <c r="G2" s="606"/>
      <c r="H2" s="606"/>
      <c r="I2" s="606"/>
      <c r="J2" s="606"/>
      <c r="K2" s="606"/>
      <c r="L2" s="606"/>
      <c r="M2" s="606"/>
      <c r="N2" s="606"/>
    </row>
    <row r="3" spans="1:14" ht="18.75" customHeight="1">
      <c r="A3" s="607" t="s">
        <v>2251</v>
      </c>
      <c r="B3" s="607"/>
      <c r="C3" s="607"/>
      <c r="D3" s="607"/>
      <c r="E3" s="607"/>
      <c r="F3" s="607"/>
      <c r="G3" s="607"/>
      <c r="H3" s="607"/>
      <c r="I3" s="607"/>
      <c r="J3" s="607"/>
      <c r="K3" s="607"/>
      <c r="L3" s="607"/>
      <c r="M3" s="607"/>
      <c r="N3" s="607"/>
    </row>
    <row r="4" spans="1:14" ht="18.75">
      <c r="A4" s="608" t="s">
        <v>2238</v>
      </c>
      <c r="B4" s="609"/>
      <c r="C4" s="609"/>
      <c r="D4" s="609"/>
      <c r="E4" s="609"/>
      <c r="F4" s="609"/>
      <c r="G4" s="609"/>
      <c r="H4" s="609"/>
      <c r="I4" s="609"/>
      <c r="J4" s="609"/>
      <c r="K4" s="609"/>
      <c r="L4" s="609"/>
      <c r="M4" s="609"/>
      <c r="N4" s="609"/>
    </row>
    <row r="5" spans="1:14" ht="19.5" customHeight="1">
      <c r="A5" s="610" t="s">
        <v>2252</v>
      </c>
      <c r="B5" s="610"/>
      <c r="C5" s="610"/>
      <c r="D5" s="610"/>
      <c r="E5" s="610"/>
      <c r="F5" s="610"/>
      <c r="G5" s="610"/>
      <c r="H5" s="610"/>
      <c r="I5" s="610"/>
      <c r="J5" s="610"/>
      <c r="K5" s="610"/>
      <c r="L5" s="610"/>
      <c r="M5" s="610"/>
      <c r="N5" s="610"/>
    </row>
    <row r="6" spans="1:14" ht="18.75" customHeight="1">
      <c r="A6" s="610" t="s">
        <v>2253</v>
      </c>
      <c r="B6" s="610"/>
      <c r="C6" s="610"/>
      <c r="D6" s="610"/>
      <c r="E6" s="610"/>
      <c r="F6" s="610"/>
      <c r="G6" s="610"/>
      <c r="H6" s="610"/>
      <c r="I6" s="610"/>
      <c r="J6" s="610"/>
      <c r="K6" s="610"/>
      <c r="L6" s="610"/>
      <c r="M6" s="610"/>
      <c r="N6" s="610"/>
    </row>
    <row r="7" spans="1:14" ht="18.75" customHeight="1">
      <c r="A7" s="610"/>
      <c r="B7" s="610"/>
      <c r="C7" s="610"/>
      <c r="D7" s="610"/>
      <c r="E7" s="610"/>
      <c r="F7" s="610"/>
      <c r="G7" s="610"/>
      <c r="H7" s="610"/>
      <c r="I7" s="610"/>
      <c r="J7" s="610"/>
      <c r="K7" s="610"/>
      <c r="L7" s="610"/>
      <c r="M7" s="610"/>
      <c r="N7" s="610"/>
    </row>
    <row r="8" spans="1:14" ht="18.75" customHeight="1">
      <c r="A8" s="596" t="s">
        <v>2256</v>
      </c>
      <c r="B8" s="596"/>
      <c r="C8" s="596"/>
      <c r="D8" s="596"/>
      <c r="E8" s="596"/>
      <c r="F8" s="596"/>
      <c r="G8" s="596"/>
      <c r="H8" s="596"/>
      <c r="I8" s="596"/>
      <c r="J8" s="596"/>
      <c r="K8" s="596"/>
      <c r="L8" s="596"/>
      <c r="M8" s="596"/>
      <c r="N8" s="596"/>
    </row>
    <row r="9" spans="1:14" ht="18.75" customHeight="1">
      <c r="A9" s="596"/>
      <c r="B9" s="596"/>
      <c r="C9" s="596"/>
      <c r="D9" s="596"/>
      <c r="E9" s="596"/>
      <c r="F9" s="596"/>
      <c r="G9" s="596"/>
      <c r="H9" s="596"/>
      <c r="I9" s="596"/>
      <c r="J9" s="596"/>
      <c r="K9" s="596"/>
      <c r="L9" s="596"/>
      <c r="M9" s="596"/>
      <c r="N9" s="596"/>
    </row>
    <row r="10" spans="1:14" ht="18.75" customHeight="1">
      <c r="A10" s="596" t="s">
        <v>2257</v>
      </c>
      <c r="B10" s="596"/>
      <c r="C10" s="596"/>
      <c r="D10" s="596"/>
      <c r="E10" s="596"/>
      <c r="F10" s="596"/>
      <c r="G10" s="596"/>
      <c r="H10" s="596"/>
      <c r="I10" s="596"/>
      <c r="J10" s="596"/>
      <c r="K10" s="596"/>
      <c r="L10" s="596"/>
      <c r="M10" s="596"/>
      <c r="N10" s="596"/>
    </row>
    <row r="11" spans="1:14" ht="18.75" customHeight="1">
      <c r="A11" s="596"/>
      <c r="B11" s="596"/>
      <c r="C11" s="596"/>
      <c r="D11" s="596"/>
      <c r="E11" s="596"/>
      <c r="F11" s="596"/>
      <c r="G11" s="596"/>
      <c r="H11" s="596"/>
      <c r="I11" s="596"/>
      <c r="J11" s="596"/>
      <c r="K11" s="596"/>
      <c r="L11" s="596"/>
      <c r="M11" s="596"/>
      <c r="N11" s="596"/>
    </row>
    <row r="12" spans="1:14" ht="18.75" customHeight="1">
      <c r="A12" s="596"/>
      <c r="B12" s="596"/>
      <c r="C12" s="596"/>
      <c r="D12" s="596"/>
      <c r="E12" s="596"/>
      <c r="F12" s="596"/>
      <c r="G12" s="596"/>
      <c r="H12" s="596"/>
      <c r="I12" s="596"/>
      <c r="J12" s="596"/>
      <c r="K12" s="596"/>
      <c r="L12" s="596"/>
      <c r="M12" s="596"/>
      <c r="N12" s="596"/>
    </row>
    <row r="13" spans="1:14" ht="18.75" customHeight="1">
      <c r="A13" s="597" t="s">
        <v>2241</v>
      </c>
      <c r="B13" s="598"/>
      <c r="C13" s="598"/>
      <c r="D13" s="598"/>
      <c r="E13" s="598"/>
      <c r="F13" s="598"/>
      <c r="G13" s="598"/>
      <c r="H13" s="598"/>
      <c r="I13" s="598"/>
      <c r="J13" s="598"/>
      <c r="K13" s="598"/>
      <c r="L13" s="598"/>
      <c r="M13" s="598"/>
      <c r="N13" s="598"/>
    </row>
    <row r="14" spans="1:14" ht="18.75" customHeight="1">
      <c r="A14" s="543" t="s">
        <v>2263</v>
      </c>
      <c r="B14" s="543"/>
      <c r="C14" s="543"/>
      <c r="D14" s="543"/>
      <c r="E14" s="543"/>
      <c r="F14" s="543"/>
      <c r="G14" s="543"/>
      <c r="H14" s="543"/>
      <c r="I14" s="543"/>
      <c r="J14" s="543"/>
      <c r="K14" s="543"/>
      <c r="L14" s="543"/>
      <c r="M14" s="543"/>
      <c r="N14" s="543"/>
    </row>
    <row r="15" spans="1:14" ht="18.75" customHeight="1">
      <c r="A15" s="543"/>
      <c r="B15" s="543"/>
      <c r="C15" s="543"/>
      <c r="D15" s="543"/>
      <c r="E15" s="543"/>
      <c r="F15" s="543"/>
      <c r="G15" s="543"/>
      <c r="H15" s="543"/>
      <c r="I15" s="543"/>
      <c r="J15" s="543"/>
      <c r="K15" s="543"/>
      <c r="L15" s="543"/>
      <c r="M15" s="543"/>
      <c r="N15" s="543"/>
    </row>
    <row r="16" spans="1:14" ht="18.75" customHeight="1">
      <c r="A16" s="543"/>
      <c r="B16" s="543"/>
      <c r="C16" s="543"/>
      <c r="D16" s="543"/>
      <c r="E16" s="543"/>
      <c r="F16" s="543"/>
      <c r="G16" s="543"/>
      <c r="H16" s="543"/>
      <c r="I16" s="543"/>
      <c r="J16" s="543"/>
      <c r="K16" s="543"/>
      <c r="L16" s="543"/>
      <c r="M16" s="543"/>
      <c r="N16" s="543"/>
    </row>
    <row r="17" spans="1:29" ht="18.75" customHeight="1">
      <c r="A17" s="543"/>
      <c r="B17" s="543"/>
      <c r="C17" s="543"/>
      <c r="D17" s="543"/>
      <c r="E17" s="543"/>
      <c r="F17" s="543"/>
      <c r="G17" s="543"/>
      <c r="H17" s="543"/>
      <c r="I17" s="543"/>
      <c r="J17" s="543"/>
      <c r="K17" s="543"/>
      <c r="L17" s="543"/>
      <c r="M17" s="543"/>
      <c r="N17" s="543"/>
    </row>
    <row r="18" spans="1:29" ht="18.75" customHeight="1">
      <c r="A18" s="544"/>
      <c r="B18" s="544"/>
      <c r="C18" s="544"/>
      <c r="D18" s="544"/>
      <c r="E18" s="544"/>
      <c r="F18" s="544"/>
      <c r="G18" s="544"/>
      <c r="H18" s="544"/>
      <c r="I18" s="544"/>
      <c r="J18" s="544"/>
      <c r="K18" s="544"/>
      <c r="L18" s="544"/>
      <c r="M18" s="544"/>
      <c r="N18" s="544"/>
    </row>
    <row r="19" spans="1:29" ht="18.75" customHeight="1">
      <c r="A19" s="599"/>
      <c r="B19" s="599"/>
      <c r="C19" s="599"/>
      <c r="D19" s="599"/>
      <c r="E19" s="599"/>
      <c r="F19" s="599"/>
      <c r="G19" s="599"/>
      <c r="H19" s="599"/>
      <c r="I19" s="599"/>
      <c r="J19" s="599"/>
      <c r="K19" s="599"/>
      <c r="L19" s="599"/>
      <c r="M19" s="599"/>
      <c r="N19" s="599"/>
    </row>
    <row r="20" spans="1:29" ht="18.75">
      <c r="A20" s="575" t="s">
        <v>2243</v>
      </c>
      <c r="B20" s="576"/>
      <c r="C20" s="576"/>
      <c r="D20" s="576"/>
      <c r="E20" s="576"/>
      <c r="F20" s="576"/>
      <c r="G20" s="576"/>
      <c r="H20" s="577"/>
      <c r="I20" s="560" t="s">
        <v>2227</v>
      </c>
      <c r="J20" s="561"/>
      <c r="K20" s="561"/>
      <c r="L20" s="561"/>
      <c r="M20" s="561"/>
      <c r="N20" s="562"/>
      <c r="P20" s="575" t="s">
        <v>2240</v>
      </c>
      <c r="Q20" s="576"/>
      <c r="R20" s="576"/>
      <c r="S20" s="576"/>
      <c r="T20" s="576"/>
      <c r="U20" s="576"/>
      <c r="V20" s="576"/>
      <c r="W20" s="577"/>
      <c r="X20" s="560" t="s">
        <v>2227</v>
      </c>
      <c r="Y20" s="561"/>
      <c r="Z20" s="561"/>
      <c r="AA20" s="561"/>
      <c r="AB20" s="561"/>
      <c r="AC20" s="562"/>
    </row>
    <row r="21" spans="1:29" ht="18.75" customHeight="1">
      <c r="A21" s="578" t="s">
        <v>2228</v>
      </c>
      <c r="B21" s="579"/>
      <c r="C21" s="579"/>
      <c r="D21" s="579"/>
      <c r="E21" s="579"/>
      <c r="F21" s="579"/>
      <c r="G21" s="579"/>
      <c r="H21" s="580"/>
      <c r="I21" s="581" t="s">
        <v>2259</v>
      </c>
      <c r="J21" s="582"/>
      <c r="K21" s="582"/>
      <c r="L21" s="582"/>
      <c r="M21" s="582"/>
      <c r="N21" s="583"/>
      <c r="P21" s="578" t="s">
        <v>2228</v>
      </c>
      <c r="Q21" s="579"/>
      <c r="R21" s="579"/>
      <c r="S21" s="579"/>
      <c r="T21" s="579"/>
      <c r="U21" s="579"/>
      <c r="V21" s="579"/>
      <c r="W21" s="580"/>
      <c r="X21" s="594" t="s">
        <v>2259</v>
      </c>
      <c r="Y21" s="594"/>
      <c r="Z21" s="594"/>
      <c r="AA21" s="594"/>
      <c r="AB21" s="594"/>
      <c r="AC21" s="594"/>
    </row>
    <row r="22" spans="1:29" ht="18.75">
      <c r="A22" s="537" t="s">
        <v>2229</v>
      </c>
      <c r="B22" s="538"/>
      <c r="C22" s="538"/>
      <c r="D22" s="538"/>
      <c r="E22" s="538"/>
      <c r="F22" s="538"/>
      <c r="G22" s="538"/>
      <c r="H22" s="539"/>
      <c r="I22" s="534"/>
      <c r="J22" s="535"/>
      <c r="K22" s="535"/>
      <c r="L22" s="535"/>
      <c r="M22" s="535"/>
      <c r="N22" s="536"/>
      <c r="P22" s="553" t="s">
        <v>2234</v>
      </c>
      <c r="Q22" s="555"/>
      <c r="R22" s="547" t="s">
        <v>2235</v>
      </c>
      <c r="S22" s="548"/>
      <c r="T22" s="548"/>
      <c r="U22" s="548"/>
      <c r="V22" s="548"/>
      <c r="W22" s="549"/>
      <c r="X22" s="595"/>
      <c r="Y22" s="595"/>
      <c r="Z22" s="595"/>
      <c r="AA22" s="595"/>
      <c r="AB22" s="595"/>
      <c r="AC22" s="595"/>
    </row>
    <row r="23" spans="1:29" ht="19.5" customHeight="1">
      <c r="A23" s="566" t="s">
        <v>2230</v>
      </c>
      <c r="B23" s="567"/>
      <c r="C23" s="567"/>
      <c r="D23" s="567"/>
      <c r="E23" s="567"/>
      <c r="F23" s="567"/>
      <c r="G23" s="567"/>
      <c r="H23" s="568"/>
      <c r="I23" s="553" t="s">
        <v>2226</v>
      </c>
      <c r="J23" s="554"/>
      <c r="K23" s="554"/>
      <c r="L23" s="554"/>
      <c r="M23" s="554"/>
      <c r="N23" s="555"/>
      <c r="P23" s="556"/>
      <c r="Q23" s="558"/>
      <c r="R23" s="550"/>
      <c r="S23" s="551"/>
      <c r="T23" s="551"/>
      <c r="U23" s="551"/>
      <c r="V23" s="551"/>
      <c r="W23" s="552"/>
      <c r="X23" s="595"/>
      <c r="Y23" s="595"/>
      <c r="Z23" s="595"/>
      <c r="AA23" s="595"/>
      <c r="AB23" s="595"/>
      <c r="AC23" s="595"/>
    </row>
    <row r="24" spans="1:29" ht="19.5" customHeight="1">
      <c r="A24" s="569"/>
      <c r="B24" s="570"/>
      <c r="C24" s="570"/>
      <c r="D24" s="570"/>
      <c r="E24" s="570"/>
      <c r="F24" s="570"/>
      <c r="G24" s="570"/>
      <c r="H24" s="571"/>
      <c r="I24" s="556"/>
      <c r="J24" s="557"/>
      <c r="K24" s="557"/>
      <c r="L24" s="557"/>
      <c r="M24" s="557"/>
      <c r="N24" s="558"/>
      <c r="P24" s="537" t="s">
        <v>2236</v>
      </c>
      <c r="Q24" s="539"/>
      <c r="R24" s="537" t="s">
        <v>2237</v>
      </c>
      <c r="S24" s="538"/>
      <c r="T24" s="538"/>
      <c r="U24" s="538"/>
      <c r="V24" s="538"/>
      <c r="W24" s="539"/>
      <c r="X24" s="595"/>
      <c r="Y24" s="595"/>
      <c r="Z24" s="595"/>
      <c r="AA24" s="595"/>
      <c r="AB24" s="595"/>
      <c r="AC24" s="595"/>
    </row>
    <row r="25" spans="1:29" ht="19.5" customHeight="1">
      <c r="A25" s="547" t="s">
        <v>2231</v>
      </c>
      <c r="B25" s="548"/>
      <c r="C25" s="548"/>
      <c r="D25" s="548"/>
      <c r="E25" s="548"/>
      <c r="F25" s="548"/>
      <c r="G25" s="548"/>
      <c r="H25" s="549"/>
      <c r="I25" s="553" t="s">
        <v>2232</v>
      </c>
      <c r="J25" s="554"/>
      <c r="K25" s="554"/>
      <c r="L25" s="554"/>
      <c r="M25" s="554"/>
      <c r="N25" s="555"/>
      <c r="P25" s="602" t="s">
        <v>2247</v>
      </c>
      <c r="Q25" s="602"/>
      <c r="R25" s="478" t="s">
        <v>2248</v>
      </c>
      <c r="S25" s="478"/>
      <c r="T25" s="478"/>
      <c r="U25" s="478"/>
      <c r="V25" s="478"/>
      <c r="W25" s="478"/>
      <c r="X25" s="595"/>
      <c r="Y25" s="595"/>
      <c r="Z25" s="595"/>
      <c r="AA25" s="595"/>
      <c r="AB25" s="595"/>
      <c r="AC25" s="595"/>
    </row>
    <row r="26" spans="1:29" ht="19.5" customHeight="1">
      <c r="A26" s="550"/>
      <c r="B26" s="551"/>
      <c r="C26" s="551"/>
      <c r="D26" s="551"/>
      <c r="E26" s="551"/>
      <c r="F26" s="551"/>
      <c r="G26" s="551"/>
      <c r="H26" s="552"/>
      <c r="I26" s="556"/>
      <c r="J26" s="557"/>
      <c r="K26" s="557"/>
      <c r="L26" s="557"/>
      <c r="M26" s="557"/>
      <c r="N26" s="558"/>
      <c r="P26" s="547" t="s">
        <v>2249</v>
      </c>
      <c r="Q26" s="549"/>
      <c r="R26" s="547" t="s">
        <v>2254</v>
      </c>
      <c r="S26" s="548"/>
      <c r="T26" s="548"/>
      <c r="U26" s="548"/>
      <c r="V26" s="548"/>
      <c r="W26" s="549"/>
      <c r="X26" s="595"/>
      <c r="Y26" s="595"/>
      <c r="Z26" s="595"/>
      <c r="AA26" s="595"/>
      <c r="AB26" s="595"/>
      <c r="AC26" s="595"/>
    </row>
    <row r="27" spans="1:29" ht="18.75">
      <c r="A27" s="537" t="s">
        <v>2233</v>
      </c>
      <c r="B27" s="538"/>
      <c r="C27" s="538"/>
      <c r="D27" s="538"/>
      <c r="E27" s="538"/>
      <c r="F27" s="538"/>
      <c r="G27" s="538"/>
      <c r="H27" s="539"/>
      <c r="I27" s="559"/>
      <c r="J27" s="559"/>
      <c r="K27" s="559"/>
      <c r="L27" s="559"/>
      <c r="M27" s="559"/>
      <c r="N27" s="559"/>
      <c r="P27" s="550"/>
      <c r="Q27" s="552"/>
      <c r="R27" s="550"/>
      <c r="S27" s="551"/>
      <c r="T27" s="551"/>
      <c r="U27" s="551"/>
      <c r="V27" s="551"/>
      <c r="W27" s="552"/>
      <c r="X27" s="595"/>
      <c r="Y27" s="595"/>
      <c r="Z27" s="595"/>
      <c r="AA27" s="595"/>
      <c r="AB27" s="595"/>
      <c r="AC27" s="595"/>
    </row>
    <row r="28" spans="1:29" ht="18.75" customHeight="1">
      <c r="A28" s="560" t="s">
        <v>2238</v>
      </c>
      <c r="B28" s="561"/>
      <c r="C28" s="561"/>
      <c r="D28" s="561"/>
      <c r="E28" s="561"/>
      <c r="F28" s="561"/>
      <c r="G28" s="561"/>
      <c r="H28" s="562"/>
      <c r="I28" s="545"/>
      <c r="J28" s="545"/>
      <c r="K28" s="545"/>
      <c r="L28" s="545"/>
      <c r="M28" s="545"/>
      <c r="N28" s="545"/>
      <c r="P28" s="600" t="s">
        <v>2258</v>
      </c>
      <c r="Q28" s="601"/>
      <c r="R28" s="478" t="s">
        <v>2248</v>
      </c>
      <c r="S28" s="478"/>
      <c r="T28" s="478"/>
      <c r="U28" s="478"/>
      <c r="V28" s="478"/>
      <c r="W28" s="478"/>
      <c r="X28" s="472" t="s">
        <v>2232</v>
      </c>
      <c r="Y28" s="472"/>
      <c r="Z28" s="472"/>
      <c r="AA28" s="472"/>
      <c r="AB28" s="472"/>
      <c r="AC28" s="472"/>
    </row>
    <row r="29" spans="1:29" ht="18.75">
      <c r="A29" s="537" t="s">
        <v>2239</v>
      </c>
      <c r="B29" s="538"/>
      <c r="C29" s="538"/>
      <c r="D29" s="538"/>
      <c r="E29" s="538"/>
      <c r="F29" s="538"/>
      <c r="G29" s="538"/>
      <c r="H29" s="539"/>
      <c r="I29" s="545"/>
      <c r="J29" s="545"/>
      <c r="K29" s="545"/>
      <c r="L29" s="545"/>
      <c r="M29" s="545"/>
      <c r="N29" s="545"/>
    </row>
    <row r="30" spans="1:29" ht="18.75">
      <c r="A30" s="537" t="s">
        <v>2244</v>
      </c>
      <c r="B30" s="538"/>
      <c r="C30" s="538"/>
      <c r="D30" s="538"/>
      <c r="E30" s="538"/>
      <c r="F30" s="538"/>
      <c r="G30" s="538"/>
      <c r="H30" s="539"/>
      <c r="I30" s="546" t="s">
        <v>2255</v>
      </c>
      <c r="J30" s="546"/>
      <c r="K30" s="546"/>
      <c r="L30" s="546"/>
      <c r="M30" s="546"/>
      <c r="N30" s="546"/>
    </row>
    <row r="31" spans="1:29" ht="18.75">
      <c r="A31" s="537" t="s">
        <v>2245</v>
      </c>
      <c r="B31" s="538"/>
      <c r="C31" s="538"/>
      <c r="D31" s="538"/>
      <c r="E31" s="538"/>
      <c r="F31" s="538"/>
      <c r="G31" s="538"/>
      <c r="H31" s="539"/>
      <c r="I31" s="545"/>
      <c r="J31" s="545"/>
      <c r="K31" s="545"/>
      <c r="L31" s="545"/>
      <c r="M31" s="545"/>
      <c r="N31" s="545"/>
    </row>
    <row r="32" spans="1:29" ht="19.5" customHeight="1">
      <c r="A32" s="531" t="s">
        <v>2241</v>
      </c>
      <c r="B32" s="532"/>
      <c r="C32" s="532"/>
      <c r="D32" s="532"/>
      <c r="E32" s="532"/>
      <c r="F32" s="532"/>
      <c r="G32" s="532"/>
      <c r="H32" s="533"/>
      <c r="I32" s="534"/>
      <c r="J32" s="535"/>
      <c r="K32" s="535"/>
      <c r="L32" s="535"/>
      <c r="M32" s="535"/>
      <c r="N32" s="536"/>
    </row>
    <row r="33" spans="1:14" ht="18.75">
      <c r="A33" s="537" t="s">
        <v>2242</v>
      </c>
      <c r="B33" s="538"/>
      <c r="C33" s="538"/>
      <c r="D33" s="538"/>
      <c r="E33" s="538"/>
      <c r="F33" s="538"/>
      <c r="G33" s="538"/>
      <c r="H33" s="539"/>
      <c r="I33" s="534"/>
      <c r="J33" s="535"/>
      <c r="K33" s="535"/>
      <c r="L33" s="535"/>
      <c r="M33" s="535"/>
      <c r="N33" s="536"/>
    </row>
    <row r="34" spans="1:14" ht="18.75" customHeight="1">
      <c r="A34" s="564"/>
      <c r="B34" s="564"/>
      <c r="C34" s="564"/>
      <c r="D34" s="564"/>
      <c r="E34" s="564"/>
      <c r="F34" s="564"/>
      <c r="G34" s="564"/>
      <c r="H34" s="564"/>
      <c r="I34" s="564"/>
      <c r="J34" s="564"/>
      <c r="K34" s="564"/>
      <c r="L34" s="564"/>
      <c r="M34" s="564"/>
      <c r="N34" s="564"/>
    </row>
    <row r="35" spans="1:14">
      <c r="A35" s="572"/>
      <c r="B35" s="572"/>
      <c r="C35" s="572"/>
      <c r="D35" s="572"/>
      <c r="E35" s="572"/>
      <c r="F35" s="572"/>
      <c r="G35" s="572"/>
      <c r="H35" s="572"/>
      <c r="I35" s="572"/>
      <c r="J35" s="572"/>
      <c r="K35" s="572"/>
      <c r="L35" s="572"/>
      <c r="M35" s="572"/>
      <c r="N35" s="572"/>
    </row>
    <row r="36" spans="1:14" ht="18.75">
      <c r="A36" s="575" t="s">
        <v>2379</v>
      </c>
      <c r="B36" s="576"/>
      <c r="C36" s="576"/>
      <c r="D36" s="576"/>
      <c r="E36" s="576"/>
      <c r="F36" s="576"/>
      <c r="G36" s="576"/>
      <c r="H36" s="577"/>
      <c r="I36" s="560" t="s">
        <v>2227</v>
      </c>
      <c r="J36" s="561"/>
      <c r="K36" s="561"/>
      <c r="L36" s="561"/>
      <c r="M36" s="561"/>
      <c r="N36" s="562"/>
    </row>
    <row r="37" spans="1:14" ht="18.75">
      <c r="A37" s="578" t="s">
        <v>2228</v>
      </c>
      <c r="B37" s="579"/>
      <c r="C37" s="579"/>
      <c r="D37" s="579"/>
      <c r="E37" s="579"/>
      <c r="F37" s="579"/>
      <c r="G37" s="579"/>
      <c r="H37" s="580"/>
      <c r="I37" s="581" t="s">
        <v>2259</v>
      </c>
      <c r="J37" s="582"/>
      <c r="K37" s="582"/>
      <c r="L37" s="582"/>
      <c r="M37" s="582"/>
      <c r="N37" s="583"/>
    </row>
    <row r="38" spans="1:14" ht="18.75" customHeight="1">
      <c r="A38" s="540" t="s">
        <v>2260</v>
      </c>
      <c r="B38" s="541"/>
      <c r="C38" s="541"/>
      <c r="D38" s="541"/>
      <c r="E38" s="541"/>
      <c r="F38" s="541"/>
      <c r="G38" s="541"/>
      <c r="H38" s="542"/>
      <c r="I38" s="563"/>
      <c r="J38" s="564"/>
      <c r="K38" s="564"/>
      <c r="L38" s="564"/>
      <c r="M38" s="564"/>
      <c r="N38" s="565"/>
    </row>
    <row r="39" spans="1:14" ht="18.75" customHeight="1">
      <c r="A39" s="584"/>
      <c r="B39" s="585"/>
      <c r="C39" s="585"/>
      <c r="D39" s="585"/>
      <c r="E39" s="585"/>
      <c r="F39" s="585"/>
      <c r="G39" s="585"/>
      <c r="H39" s="586"/>
      <c r="I39" s="590"/>
      <c r="J39" s="489"/>
      <c r="K39" s="489"/>
      <c r="L39" s="489"/>
      <c r="M39" s="489"/>
      <c r="N39" s="591"/>
    </row>
    <row r="40" spans="1:14" ht="18.75" customHeight="1">
      <c r="A40" s="587"/>
      <c r="B40" s="588"/>
      <c r="C40" s="588"/>
      <c r="D40" s="588"/>
      <c r="E40" s="588"/>
      <c r="F40" s="588"/>
      <c r="G40" s="588"/>
      <c r="H40" s="589"/>
      <c r="I40" s="592"/>
      <c r="J40" s="572"/>
      <c r="K40" s="572"/>
      <c r="L40" s="572"/>
      <c r="M40" s="572"/>
      <c r="N40" s="593"/>
    </row>
    <row r="41" spans="1:14" ht="18.75">
      <c r="A41" s="537" t="s">
        <v>2229</v>
      </c>
      <c r="B41" s="538"/>
      <c r="C41" s="538"/>
      <c r="D41" s="538"/>
      <c r="E41" s="538"/>
      <c r="F41" s="538"/>
      <c r="G41" s="538"/>
      <c r="H41" s="539"/>
      <c r="I41" s="534"/>
      <c r="J41" s="535"/>
      <c r="K41" s="535"/>
      <c r="L41" s="535"/>
      <c r="M41" s="535"/>
      <c r="N41" s="536"/>
    </row>
    <row r="42" spans="1:14">
      <c r="A42" s="566" t="s">
        <v>2230</v>
      </c>
      <c r="B42" s="567"/>
      <c r="C42" s="567"/>
      <c r="D42" s="567"/>
      <c r="E42" s="567"/>
      <c r="F42" s="567"/>
      <c r="G42" s="567"/>
      <c r="H42" s="568"/>
      <c r="I42" s="553" t="s">
        <v>2226</v>
      </c>
      <c r="J42" s="554"/>
      <c r="K42" s="554"/>
      <c r="L42" s="554"/>
      <c r="M42" s="554"/>
      <c r="N42" s="555"/>
    </row>
    <row r="43" spans="1:14" ht="21.75" customHeight="1">
      <c r="A43" s="569"/>
      <c r="B43" s="570"/>
      <c r="C43" s="570"/>
      <c r="D43" s="570"/>
      <c r="E43" s="570"/>
      <c r="F43" s="570"/>
      <c r="G43" s="570"/>
      <c r="H43" s="571"/>
      <c r="I43" s="556"/>
      <c r="J43" s="557"/>
      <c r="K43" s="557"/>
      <c r="L43" s="557"/>
      <c r="M43" s="557"/>
      <c r="N43" s="558"/>
    </row>
    <row r="44" spans="1:14">
      <c r="A44" s="547" t="s">
        <v>2231</v>
      </c>
      <c r="B44" s="548"/>
      <c r="C44" s="548"/>
      <c r="D44" s="548"/>
      <c r="E44" s="548"/>
      <c r="F44" s="548"/>
      <c r="G44" s="548"/>
      <c r="H44" s="549"/>
      <c r="I44" s="553" t="s">
        <v>2232</v>
      </c>
      <c r="J44" s="554"/>
      <c r="K44" s="554"/>
      <c r="L44" s="554"/>
      <c r="M44" s="554"/>
      <c r="N44" s="555"/>
    </row>
    <row r="45" spans="1:14" ht="21.75" customHeight="1">
      <c r="A45" s="550"/>
      <c r="B45" s="551"/>
      <c r="C45" s="551"/>
      <c r="D45" s="551"/>
      <c r="E45" s="551"/>
      <c r="F45" s="551"/>
      <c r="G45" s="551"/>
      <c r="H45" s="552"/>
      <c r="I45" s="556"/>
      <c r="J45" s="557"/>
      <c r="K45" s="557"/>
      <c r="L45" s="557"/>
      <c r="M45" s="557"/>
      <c r="N45" s="558"/>
    </row>
    <row r="46" spans="1:14" ht="18.75">
      <c r="A46" s="537" t="s">
        <v>2233</v>
      </c>
      <c r="B46" s="538"/>
      <c r="C46" s="538"/>
      <c r="D46" s="538"/>
      <c r="E46" s="538"/>
      <c r="F46" s="538"/>
      <c r="G46" s="538"/>
      <c r="H46" s="539"/>
      <c r="I46" s="559"/>
      <c r="J46" s="559"/>
      <c r="K46" s="559"/>
      <c r="L46" s="559"/>
      <c r="M46" s="559"/>
      <c r="N46" s="559"/>
    </row>
    <row r="47" spans="1:14" ht="18.75">
      <c r="A47" s="560" t="s">
        <v>2238</v>
      </c>
      <c r="B47" s="561"/>
      <c r="C47" s="561"/>
      <c r="D47" s="561"/>
      <c r="E47" s="561"/>
      <c r="F47" s="561"/>
      <c r="G47" s="561"/>
      <c r="H47" s="562"/>
      <c r="I47" s="545"/>
      <c r="J47" s="545"/>
      <c r="K47" s="545"/>
      <c r="L47" s="545"/>
      <c r="M47" s="545"/>
      <c r="N47" s="545"/>
    </row>
    <row r="48" spans="1:14" ht="18.75">
      <c r="A48" s="537" t="s">
        <v>2239</v>
      </c>
      <c r="B48" s="538"/>
      <c r="C48" s="538"/>
      <c r="D48" s="538"/>
      <c r="E48" s="538"/>
      <c r="F48" s="538"/>
      <c r="G48" s="538"/>
      <c r="H48" s="539"/>
      <c r="I48" s="545"/>
      <c r="J48" s="545"/>
      <c r="K48" s="545"/>
      <c r="L48" s="545"/>
      <c r="M48" s="545"/>
      <c r="N48" s="545"/>
    </row>
    <row r="49" spans="1:14" ht="18.75">
      <c r="A49" s="537" t="s">
        <v>2244</v>
      </c>
      <c r="B49" s="538"/>
      <c r="C49" s="538"/>
      <c r="D49" s="538"/>
      <c r="E49" s="538"/>
      <c r="F49" s="538"/>
      <c r="G49" s="538"/>
      <c r="H49" s="539"/>
      <c r="I49" s="546" t="s">
        <v>2255</v>
      </c>
      <c r="J49" s="546"/>
      <c r="K49" s="546"/>
      <c r="L49" s="546"/>
      <c r="M49" s="546"/>
      <c r="N49" s="546"/>
    </row>
    <row r="50" spans="1:14" ht="18.75">
      <c r="A50" s="537" t="s">
        <v>2245</v>
      </c>
      <c r="B50" s="538"/>
      <c r="C50" s="538"/>
      <c r="D50" s="538"/>
      <c r="E50" s="538"/>
      <c r="F50" s="538"/>
      <c r="G50" s="538"/>
      <c r="H50" s="539"/>
      <c r="I50" s="545"/>
      <c r="J50" s="545"/>
      <c r="K50" s="545"/>
      <c r="L50" s="545"/>
      <c r="M50" s="545"/>
      <c r="N50" s="545"/>
    </row>
    <row r="51" spans="1:14" ht="18.75">
      <c r="A51" s="531" t="s">
        <v>2241</v>
      </c>
      <c r="B51" s="532"/>
      <c r="C51" s="532"/>
      <c r="D51" s="532"/>
      <c r="E51" s="532"/>
      <c r="F51" s="532"/>
      <c r="G51" s="532"/>
      <c r="H51" s="533"/>
      <c r="I51" s="534"/>
      <c r="J51" s="535"/>
      <c r="K51" s="535"/>
      <c r="L51" s="535"/>
      <c r="M51" s="535"/>
      <c r="N51" s="536"/>
    </row>
    <row r="52" spans="1:14" ht="18.75">
      <c r="A52" s="537" t="s">
        <v>2242</v>
      </c>
      <c r="B52" s="538"/>
      <c r="C52" s="538"/>
      <c r="D52" s="538"/>
      <c r="E52" s="538"/>
      <c r="F52" s="538"/>
      <c r="G52" s="538"/>
      <c r="H52" s="539"/>
      <c r="I52" s="534"/>
      <c r="J52" s="535"/>
      <c r="K52" s="535"/>
      <c r="L52" s="535"/>
      <c r="M52" s="535"/>
      <c r="N52" s="536"/>
    </row>
    <row r="53" spans="1:14">
      <c r="A53" s="573"/>
      <c r="B53" s="573"/>
      <c r="C53" s="573"/>
      <c r="D53" s="573"/>
      <c r="E53" s="573"/>
      <c r="F53" s="573"/>
      <c r="G53" s="573"/>
      <c r="H53" s="573"/>
      <c r="I53" s="573"/>
      <c r="J53" s="573"/>
      <c r="K53" s="573"/>
      <c r="L53" s="573"/>
      <c r="M53" s="573"/>
      <c r="N53" s="573"/>
    </row>
    <row r="54" spans="1:14" ht="21" customHeight="1">
      <c r="A54" s="574"/>
      <c r="B54" s="574"/>
      <c r="C54" s="574"/>
      <c r="D54" s="574"/>
      <c r="E54" s="574"/>
      <c r="F54" s="574"/>
      <c r="G54" s="574"/>
      <c r="H54" s="574"/>
      <c r="I54" s="574"/>
      <c r="J54" s="574"/>
      <c r="K54" s="574"/>
      <c r="L54" s="574"/>
      <c r="M54" s="574"/>
      <c r="N54" s="574"/>
    </row>
    <row r="55" spans="1:14" ht="18.75">
      <c r="A55" s="575" t="s">
        <v>2262</v>
      </c>
      <c r="B55" s="576"/>
      <c r="C55" s="576"/>
      <c r="D55" s="576"/>
      <c r="E55" s="576"/>
      <c r="F55" s="576"/>
      <c r="G55" s="576"/>
      <c r="H55" s="577"/>
      <c r="I55" s="560" t="s">
        <v>2227</v>
      </c>
      <c r="J55" s="561"/>
      <c r="K55" s="561"/>
      <c r="L55" s="561"/>
      <c r="M55" s="561"/>
      <c r="N55" s="562"/>
    </row>
    <row r="56" spans="1:14" ht="18.75">
      <c r="A56" s="578" t="s">
        <v>2228</v>
      </c>
      <c r="B56" s="579"/>
      <c r="C56" s="579"/>
      <c r="D56" s="579"/>
      <c r="E56" s="579"/>
      <c r="F56" s="579"/>
      <c r="G56" s="579"/>
      <c r="H56" s="580"/>
      <c r="I56" s="581" t="s">
        <v>2259</v>
      </c>
      <c r="J56" s="582"/>
      <c r="K56" s="582"/>
      <c r="L56" s="582"/>
      <c r="M56" s="582"/>
      <c r="N56" s="583"/>
    </row>
    <row r="57" spans="1:14" ht="19.5" customHeight="1">
      <c r="A57" s="540" t="s">
        <v>2261</v>
      </c>
      <c r="B57" s="541"/>
      <c r="C57" s="541"/>
      <c r="D57" s="541"/>
      <c r="E57" s="541"/>
      <c r="F57" s="541"/>
      <c r="G57" s="541"/>
      <c r="H57" s="542"/>
      <c r="I57" s="563"/>
      <c r="J57" s="564"/>
      <c r="K57" s="564"/>
      <c r="L57" s="564"/>
      <c r="M57" s="564"/>
      <c r="N57" s="565"/>
    </row>
    <row r="58" spans="1:14" ht="18.75">
      <c r="A58" s="537" t="s">
        <v>2229</v>
      </c>
      <c r="B58" s="538"/>
      <c r="C58" s="538"/>
      <c r="D58" s="538"/>
      <c r="E58" s="538"/>
      <c r="F58" s="538"/>
      <c r="G58" s="538"/>
      <c r="H58" s="539"/>
      <c r="I58" s="534"/>
      <c r="J58" s="535"/>
      <c r="K58" s="535"/>
      <c r="L58" s="535"/>
      <c r="M58" s="535"/>
      <c r="N58" s="536"/>
    </row>
    <row r="59" spans="1:14">
      <c r="A59" s="566" t="s">
        <v>2230</v>
      </c>
      <c r="B59" s="567"/>
      <c r="C59" s="567"/>
      <c r="D59" s="567"/>
      <c r="E59" s="567"/>
      <c r="F59" s="567"/>
      <c r="G59" s="567"/>
      <c r="H59" s="568"/>
      <c r="I59" s="553" t="s">
        <v>2226</v>
      </c>
      <c r="J59" s="554"/>
      <c r="K59" s="554"/>
      <c r="L59" s="554"/>
      <c r="M59" s="554"/>
      <c r="N59" s="555"/>
    </row>
    <row r="60" spans="1:14" ht="19.5" customHeight="1">
      <c r="A60" s="569"/>
      <c r="B60" s="570"/>
      <c r="C60" s="570"/>
      <c r="D60" s="570"/>
      <c r="E60" s="570"/>
      <c r="F60" s="570"/>
      <c r="G60" s="570"/>
      <c r="H60" s="571"/>
      <c r="I60" s="556"/>
      <c r="J60" s="557"/>
      <c r="K60" s="557"/>
      <c r="L60" s="557"/>
      <c r="M60" s="557"/>
      <c r="N60" s="558"/>
    </row>
    <row r="61" spans="1:14">
      <c r="A61" s="547" t="s">
        <v>2231</v>
      </c>
      <c r="B61" s="548"/>
      <c r="C61" s="548"/>
      <c r="D61" s="548"/>
      <c r="E61" s="548"/>
      <c r="F61" s="548"/>
      <c r="G61" s="548"/>
      <c r="H61" s="549"/>
      <c r="I61" s="553" t="s">
        <v>2232</v>
      </c>
      <c r="J61" s="554"/>
      <c r="K61" s="554"/>
      <c r="L61" s="554"/>
      <c r="M61" s="554"/>
      <c r="N61" s="555"/>
    </row>
    <row r="62" spans="1:14" ht="22.5" customHeight="1">
      <c r="A62" s="550"/>
      <c r="B62" s="551"/>
      <c r="C62" s="551"/>
      <c r="D62" s="551"/>
      <c r="E62" s="551"/>
      <c r="F62" s="551"/>
      <c r="G62" s="551"/>
      <c r="H62" s="552"/>
      <c r="I62" s="556"/>
      <c r="J62" s="557"/>
      <c r="K62" s="557"/>
      <c r="L62" s="557"/>
      <c r="M62" s="557"/>
      <c r="N62" s="558"/>
    </row>
    <row r="63" spans="1:14" ht="18.75">
      <c r="A63" s="537" t="s">
        <v>2233</v>
      </c>
      <c r="B63" s="538"/>
      <c r="C63" s="538"/>
      <c r="D63" s="538"/>
      <c r="E63" s="538"/>
      <c r="F63" s="538"/>
      <c r="G63" s="538"/>
      <c r="H63" s="539"/>
      <c r="I63" s="559"/>
      <c r="J63" s="559"/>
      <c r="K63" s="559"/>
      <c r="L63" s="559"/>
      <c r="M63" s="559"/>
      <c r="N63" s="559"/>
    </row>
    <row r="64" spans="1:14" ht="18.75">
      <c r="A64" s="560" t="s">
        <v>2238</v>
      </c>
      <c r="B64" s="561"/>
      <c r="C64" s="561"/>
      <c r="D64" s="561"/>
      <c r="E64" s="561"/>
      <c r="F64" s="561"/>
      <c r="G64" s="561"/>
      <c r="H64" s="562"/>
      <c r="I64" s="545"/>
      <c r="J64" s="545"/>
      <c r="K64" s="545"/>
      <c r="L64" s="545"/>
      <c r="M64" s="545"/>
      <c r="N64" s="545"/>
    </row>
    <row r="65" spans="1:14" ht="18.75">
      <c r="A65" s="537" t="s">
        <v>2239</v>
      </c>
      <c r="B65" s="538"/>
      <c r="C65" s="538"/>
      <c r="D65" s="538"/>
      <c r="E65" s="538"/>
      <c r="F65" s="538"/>
      <c r="G65" s="538"/>
      <c r="H65" s="539"/>
      <c r="I65" s="545"/>
      <c r="J65" s="545"/>
      <c r="K65" s="545"/>
      <c r="L65" s="545"/>
      <c r="M65" s="545"/>
      <c r="N65" s="545"/>
    </row>
    <row r="66" spans="1:14" ht="18.75">
      <c r="A66" s="537" t="s">
        <v>2244</v>
      </c>
      <c r="B66" s="538"/>
      <c r="C66" s="538"/>
      <c r="D66" s="538"/>
      <c r="E66" s="538"/>
      <c r="F66" s="538"/>
      <c r="G66" s="538"/>
      <c r="H66" s="539"/>
      <c r="I66" s="546" t="s">
        <v>2255</v>
      </c>
      <c r="J66" s="546"/>
      <c r="K66" s="546"/>
      <c r="L66" s="546"/>
      <c r="M66" s="546"/>
      <c r="N66" s="546"/>
    </row>
    <row r="67" spans="1:14" ht="18.75">
      <c r="A67" s="537" t="s">
        <v>2245</v>
      </c>
      <c r="B67" s="538"/>
      <c r="C67" s="538"/>
      <c r="D67" s="538"/>
      <c r="E67" s="538"/>
      <c r="F67" s="538"/>
      <c r="G67" s="538"/>
      <c r="H67" s="539"/>
      <c r="I67" s="545"/>
      <c r="J67" s="545"/>
      <c r="K67" s="545"/>
      <c r="L67" s="545"/>
      <c r="M67" s="545"/>
      <c r="N67" s="545"/>
    </row>
    <row r="68" spans="1:14" ht="18.75">
      <c r="A68" s="531" t="s">
        <v>2241</v>
      </c>
      <c r="B68" s="532"/>
      <c r="C68" s="532"/>
      <c r="D68" s="532"/>
      <c r="E68" s="532"/>
      <c r="F68" s="532"/>
      <c r="G68" s="532"/>
      <c r="H68" s="533"/>
      <c r="I68" s="534"/>
      <c r="J68" s="535"/>
      <c r="K68" s="535"/>
      <c r="L68" s="535"/>
      <c r="M68" s="535"/>
      <c r="N68" s="536"/>
    </row>
    <row r="69" spans="1:14" ht="18.75">
      <c r="A69" s="537" t="s">
        <v>2242</v>
      </c>
      <c r="B69" s="538"/>
      <c r="C69" s="538"/>
      <c r="D69" s="538"/>
      <c r="E69" s="538"/>
      <c r="F69" s="538"/>
      <c r="G69" s="538"/>
      <c r="H69" s="539"/>
      <c r="I69" s="534"/>
      <c r="J69" s="535"/>
      <c r="K69" s="535"/>
      <c r="L69" s="535"/>
      <c r="M69" s="535"/>
      <c r="N69" s="536"/>
    </row>
  </sheetData>
  <mergeCells count="108">
    <mergeCell ref="A1:N1"/>
    <mergeCell ref="A2:N2"/>
    <mergeCell ref="A3:N3"/>
    <mergeCell ref="A4:N4"/>
    <mergeCell ref="A5:N5"/>
    <mergeCell ref="I29:N29"/>
    <mergeCell ref="I30:N30"/>
    <mergeCell ref="A6:N7"/>
    <mergeCell ref="A8:N9"/>
    <mergeCell ref="I21:N21"/>
    <mergeCell ref="A21:H21"/>
    <mergeCell ref="A22:H22"/>
    <mergeCell ref="A23:H24"/>
    <mergeCell ref="A25:H26"/>
    <mergeCell ref="I25:N26"/>
    <mergeCell ref="A28:H28"/>
    <mergeCell ref="A29:H29"/>
    <mergeCell ref="A30:H30"/>
    <mergeCell ref="I23:N24"/>
    <mergeCell ref="A27:H27"/>
    <mergeCell ref="I27:N27"/>
    <mergeCell ref="X28:AC28"/>
    <mergeCell ref="X21:AC21"/>
    <mergeCell ref="X25:AC25"/>
    <mergeCell ref="X22:AC23"/>
    <mergeCell ref="X24:AC24"/>
    <mergeCell ref="A10:N12"/>
    <mergeCell ref="A13:N13"/>
    <mergeCell ref="X26:AC27"/>
    <mergeCell ref="A19:N19"/>
    <mergeCell ref="R26:W27"/>
    <mergeCell ref="P26:Q27"/>
    <mergeCell ref="P28:Q28"/>
    <mergeCell ref="R25:W25"/>
    <mergeCell ref="P21:W21"/>
    <mergeCell ref="P20:W20"/>
    <mergeCell ref="X20:AC20"/>
    <mergeCell ref="P24:Q24"/>
    <mergeCell ref="R22:W23"/>
    <mergeCell ref="P22:Q23"/>
    <mergeCell ref="R24:W24"/>
    <mergeCell ref="P25:Q25"/>
    <mergeCell ref="A20:H20"/>
    <mergeCell ref="I20:N20"/>
    <mergeCell ref="I22:N22"/>
    <mergeCell ref="A36:H36"/>
    <mergeCell ref="I36:N36"/>
    <mergeCell ref="A37:H37"/>
    <mergeCell ref="I37:N37"/>
    <mergeCell ref="A41:H41"/>
    <mergeCell ref="I41:N41"/>
    <mergeCell ref="A38:H40"/>
    <mergeCell ref="I38:N40"/>
    <mergeCell ref="R28:W28"/>
    <mergeCell ref="I33:N33"/>
    <mergeCell ref="A33:H33"/>
    <mergeCell ref="I31:N31"/>
    <mergeCell ref="I32:N32"/>
    <mergeCell ref="I28:N28"/>
    <mergeCell ref="A32:H32"/>
    <mergeCell ref="A31:H31"/>
    <mergeCell ref="A47:H47"/>
    <mergeCell ref="I47:N47"/>
    <mergeCell ref="A48:H48"/>
    <mergeCell ref="I48:N48"/>
    <mergeCell ref="A49:H49"/>
    <mergeCell ref="I49:N49"/>
    <mergeCell ref="A42:H43"/>
    <mergeCell ref="I42:N43"/>
    <mergeCell ref="A44:H45"/>
    <mergeCell ref="I44:N45"/>
    <mergeCell ref="A46:H46"/>
    <mergeCell ref="I46:N46"/>
    <mergeCell ref="A53:N54"/>
    <mergeCell ref="A55:H55"/>
    <mergeCell ref="I55:N55"/>
    <mergeCell ref="A56:H56"/>
    <mergeCell ref="I56:N56"/>
    <mergeCell ref="A50:H50"/>
    <mergeCell ref="I50:N50"/>
    <mergeCell ref="A51:H51"/>
    <mergeCell ref="I51:N51"/>
    <mergeCell ref="A52:H52"/>
    <mergeCell ref="I52:N52"/>
    <mergeCell ref="A68:H68"/>
    <mergeCell ref="I68:N68"/>
    <mergeCell ref="A69:H69"/>
    <mergeCell ref="I69:N69"/>
    <mergeCell ref="A57:H57"/>
    <mergeCell ref="A14:N18"/>
    <mergeCell ref="A65:H65"/>
    <mergeCell ref="I65:N65"/>
    <mergeCell ref="A66:H66"/>
    <mergeCell ref="I66:N66"/>
    <mergeCell ref="A67:H67"/>
    <mergeCell ref="I67:N67"/>
    <mergeCell ref="A61:H62"/>
    <mergeCell ref="I61:N62"/>
    <mergeCell ref="A63:H63"/>
    <mergeCell ref="I63:N63"/>
    <mergeCell ref="A64:H64"/>
    <mergeCell ref="I64:N64"/>
    <mergeCell ref="I57:N57"/>
    <mergeCell ref="A58:H58"/>
    <mergeCell ref="I58:N58"/>
    <mergeCell ref="A59:H60"/>
    <mergeCell ref="I59:N60"/>
    <mergeCell ref="A34:N3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9" tint="-0.499984740745262"/>
    <pageSetUpPr fitToPage="1"/>
  </sheetPr>
  <dimension ref="A1:G66"/>
  <sheetViews>
    <sheetView showGridLines="0" showZeros="0" zoomScale="70" zoomScaleNormal="70" workbookViewId="0">
      <selection activeCell="C12" sqref="C12"/>
    </sheetView>
  </sheetViews>
  <sheetFormatPr baseColWidth="10" defaultColWidth="11.42578125" defaultRowHeight="18.75"/>
  <cols>
    <col min="1" max="1" width="2.7109375" style="1" customWidth="1" collapsed="1"/>
    <col min="2" max="2" width="33.85546875" style="2" customWidth="1" collapsed="1"/>
    <col min="3" max="3" width="92.7109375" style="2" customWidth="1" collapsed="1"/>
    <col min="4" max="4" width="13.28515625" style="2" customWidth="1" collapsed="1"/>
    <col min="5" max="5" width="3.28515625" style="1" customWidth="1" collapsed="1"/>
    <col min="6" max="16384" width="11.42578125" style="1" collapsed="1"/>
  </cols>
  <sheetData>
    <row r="1" spans="1:6" ht="45.75" customHeight="1">
      <c r="A1" s="11"/>
      <c r="B1" s="289"/>
      <c r="C1" s="4"/>
      <c r="D1" s="4"/>
      <c r="E1" s="12"/>
      <c r="F1" s="1" t="s">
        <v>1757</v>
      </c>
    </row>
    <row r="2" spans="1:6">
      <c r="A2" s="13"/>
      <c r="B2" s="3" t="s">
        <v>3</v>
      </c>
      <c r="C2" s="3"/>
      <c r="D2" s="3"/>
      <c r="E2" s="5"/>
    </row>
    <row r="3" spans="1:6" ht="10.5" customHeight="1">
      <c r="A3" s="13"/>
      <c r="B3" s="3"/>
      <c r="C3" s="3"/>
      <c r="D3" s="3"/>
      <c r="E3" s="5"/>
    </row>
    <row r="4" spans="1:6" ht="21.75" customHeight="1">
      <c r="A4" s="13"/>
      <c r="B4" s="51" t="s">
        <v>41</v>
      </c>
      <c r="C4" s="73">
        <f>+FORMULARIO!C13</f>
        <v>0</v>
      </c>
      <c r="D4" s="3"/>
      <c r="E4" s="5"/>
    </row>
    <row r="5" spans="1:6" ht="21.75" customHeight="1">
      <c r="A5" s="13"/>
      <c r="B5" s="51" t="s">
        <v>35</v>
      </c>
      <c r="C5" s="52" t="str">
        <f>CONCATENATE('CTC Pers. Natural'!B10," ",'CTC Pers. Natural'!F10," ",'CTC Pers. Natural'!H10," ",'CTC Pers. Natural'!B11)</f>
        <v xml:space="preserve">   </v>
      </c>
      <c r="D5" s="3"/>
      <c r="E5" s="14"/>
    </row>
    <row r="6" spans="1:6" ht="21.75" customHeight="1">
      <c r="A6" s="13"/>
      <c r="B6" s="51" t="s">
        <v>39</v>
      </c>
      <c r="C6" s="52"/>
      <c r="D6" s="3"/>
      <c r="E6" s="14"/>
    </row>
    <row r="7" spans="1:6" ht="21.75" customHeight="1">
      <c r="A7" s="13"/>
      <c r="B7" s="51" t="s">
        <v>40</v>
      </c>
      <c r="C7" s="52"/>
      <c r="D7" s="3"/>
      <c r="E7" s="14"/>
    </row>
    <row r="8" spans="1:6" ht="21.75" customHeight="1" thickBot="1">
      <c r="A8" s="13"/>
      <c r="B8" s="51" t="s">
        <v>42</v>
      </c>
      <c r="C8" s="53"/>
      <c r="D8" s="3"/>
      <c r="E8" s="14"/>
    </row>
    <row r="9" spans="1:6" ht="21.75" customHeight="1">
      <c r="A9" s="13"/>
      <c r="B9" s="51" t="s">
        <v>34</v>
      </c>
      <c r="C9" s="54"/>
      <c r="D9" s="611" t="s">
        <v>158</v>
      </c>
      <c r="E9" s="14"/>
    </row>
    <row r="10" spans="1:6" ht="21.75" customHeight="1">
      <c r="A10" s="13"/>
      <c r="B10" s="51" t="s">
        <v>66</v>
      </c>
      <c r="C10" s="118"/>
      <c r="D10" s="612"/>
      <c r="E10" s="14"/>
    </row>
    <row r="11" spans="1:6" ht="21.75" customHeight="1">
      <c r="A11" s="13"/>
      <c r="B11" s="51" t="s">
        <v>65</v>
      </c>
      <c r="C11" s="118"/>
      <c r="D11" s="612"/>
      <c r="E11" s="14"/>
    </row>
    <row r="12" spans="1:6" ht="21.75" customHeight="1">
      <c r="A12" s="13"/>
      <c r="B12" s="51" t="s">
        <v>67</v>
      </c>
      <c r="C12" s="54"/>
      <c r="D12" s="612"/>
      <c r="E12" s="14"/>
    </row>
    <row r="13" spans="1:6" ht="21.75" customHeight="1">
      <c r="A13" s="13"/>
      <c r="B13" s="51" t="s">
        <v>1337</v>
      </c>
      <c r="C13" s="118"/>
      <c r="D13" s="612"/>
      <c r="E13" s="14"/>
    </row>
    <row r="14" spans="1:6" ht="21.75" customHeight="1">
      <c r="A14" s="13"/>
      <c r="B14" s="290" t="s">
        <v>1753</v>
      </c>
      <c r="C14" s="52">
        <f>+FORMULARIO!C29</f>
        <v>0</v>
      </c>
      <c r="D14" s="612"/>
      <c r="E14" s="14"/>
    </row>
    <row r="15" spans="1:6" ht="21.75" customHeight="1" thickBot="1">
      <c r="A15" s="13"/>
      <c r="B15" s="3"/>
      <c r="C15" s="18"/>
      <c r="D15" s="613"/>
      <c r="E15" s="14"/>
    </row>
    <row r="16" spans="1:6" ht="21.75" customHeight="1" thickBot="1">
      <c r="A16" s="13"/>
      <c r="B16" s="617" t="s">
        <v>1349</v>
      </c>
      <c r="C16" s="618"/>
      <c r="D16" s="619"/>
      <c r="E16" s="14"/>
    </row>
    <row r="17" spans="1:5" ht="21.75" customHeight="1" thickBot="1">
      <c r="A17" s="13"/>
      <c r="B17" s="614" t="s">
        <v>2382</v>
      </c>
      <c r="C17" s="615"/>
      <c r="D17" s="116" t="str">
        <f>+IF('CTC Pers. Natural'!$B$10&gt;1,1,"")</f>
        <v/>
      </c>
      <c r="E17" s="14"/>
    </row>
    <row r="18" spans="1:5" ht="21.75" customHeight="1" thickBot="1">
      <c r="A18" s="13"/>
      <c r="B18" s="55" t="s">
        <v>2383</v>
      </c>
      <c r="C18" s="56"/>
      <c r="D18" s="117" t="str">
        <f>+IF(FORMULARIO!A107&gt;=1,1,"")</f>
        <v/>
      </c>
      <c r="E18" s="14"/>
    </row>
    <row r="19" spans="1:5" ht="21.75" customHeight="1" thickBot="1">
      <c r="A19" s="13"/>
      <c r="B19" s="614" t="s">
        <v>2384</v>
      </c>
      <c r="C19" s="615"/>
      <c r="D19" s="116" t="str">
        <f>+IF(FORMULARIO!A100&gt;=1,1,"")</f>
        <v/>
      </c>
      <c r="E19" s="14"/>
    </row>
    <row r="20" spans="1:5" ht="21.75" customHeight="1" thickBot="1">
      <c r="A20" s="13"/>
      <c r="B20" s="614" t="s">
        <v>2388</v>
      </c>
      <c r="C20" s="615"/>
      <c r="D20" s="116" t="str">
        <f>+IF(FORMULARIO!A101&gt;=1,1,"")</f>
        <v/>
      </c>
      <c r="E20" s="14"/>
    </row>
    <row r="21" spans="1:5" ht="21.75" customHeight="1" thickBot="1">
      <c r="A21" s="13"/>
      <c r="B21" s="44" t="s">
        <v>2387</v>
      </c>
      <c r="C21" s="45"/>
      <c r="D21" s="116" t="str">
        <f>+IF(FORMULARIO!A102&gt;=1,1,"")</f>
        <v/>
      </c>
      <c r="E21" s="14"/>
    </row>
    <row r="22" spans="1:5" ht="21.75" customHeight="1" thickBot="1">
      <c r="A22" s="13"/>
      <c r="B22" s="55" t="s">
        <v>154</v>
      </c>
      <c r="C22" s="45"/>
      <c r="D22" s="116" t="str">
        <f>+IF(FORMULARIO!A103&gt;=1,1,"")</f>
        <v/>
      </c>
      <c r="E22" s="14"/>
    </row>
    <row r="23" spans="1:5" ht="21.75" customHeight="1" thickBot="1">
      <c r="A23" s="13"/>
      <c r="B23" s="55" t="s">
        <v>155</v>
      </c>
      <c r="C23" s="45"/>
      <c r="D23" s="116" t="str">
        <f>+IF(FORMULARIO!A104&gt;=1,1,"")</f>
        <v/>
      </c>
      <c r="E23" s="14"/>
    </row>
    <row r="24" spans="1:5" ht="21.75" customHeight="1" thickBot="1">
      <c r="A24" s="13"/>
      <c r="B24" s="55" t="s">
        <v>2385</v>
      </c>
      <c r="C24" s="45"/>
      <c r="D24" s="116" t="str">
        <f>+IF(FORMULARIO!A105&gt;=1,1,"")</f>
        <v/>
      </c>
      <c r="E24" s="14"/>
    </row>
    <row r="25" spans="1:5" ht="21.75" customHeight="1" thickBot="1">
      <c r="A25" s="13"/>
      <c r="B25" s="55" t="s">
        <v>139</v>
      </c>
      <c r="C25" s="45"/>
      <c r="D25" s="116" t="str">
        <f>+IF(FORMULARIO!D100&gt;=1,1,"")</f>
        <v/>
      </c>
      <c r="E25" s="14"/>
    </row>
    <row r="26" spans="1:5" ht="21.75" customHeight="1" thickBot="1">
      <c r="A26" s="13"/>
      <c r="B26" s="55" t="s">
        <v>132</v>
      </c>
      <c r="C26" s="56"/>
      <c r="D26" s="116" t="str">
        <f>+IF(FORMULARIO!D101&gt;=1,1,"")</f>
        <v/>
      </c>
      <c r="E26" s="14"/>
    </row>
    <row r="27" spans="1:5" ht="21.75" customHeight="1" thickBot="1">
      <c r="A27" s="13"/>
      <c r="B27" s="614" t="s">
        <v>2386</v>
      </c>
      <c r="C27" s="620"/>
      <c r="D27" s="116" t="str">
        <f>+IF(FORMULARIO!D102&gt;=1,1,"")</f>
        <v/>
      </c>
      <c r="E27" s="14"/>
    </row>
    <row r="28" spans="1:5" ht="21.75" customHeight="1" thickBot="1">
      <c r="A28" s="13"/>
      <c r="B28" s="44"/>
      <c r="C28" s="45"/>
      <c r="D28" s="116" t="str">
        <f>+IF(FORMULARIO!D103&gt;=1,1,"")</f>
        <v/>
      </c>
      <c r="E28" s="14"/>
    </row>
    <row r="29" spans="1:5" ht="21.75" customHeight="1" thickBot="1">
      <c r="A29" s="13"/>
      <c r="B29" s="44"/>
      <c r="C29" s="45"/>
      <c r="D29" s="116" t="str">
        <f>+IF(FORMULARIO!D104&gt;=1,1,"")</f>
        <v/>
      </c>
      <c r="E29" s="14"/>
    </row>
    <row r="30" spans="1:5" ht="21.75" customHeight="1" thickBot="1">
      <c r="A30" s="13"/>
      <c r="B30" s="44"/>
      <c r="C30" s="45"/>
      <c r="D30" s="116" t="str">
        <f>+IF(FORMULARIO!D105&gt;=1,1,"")</f>
        <v/>
      </c>
      <c r="E30" s="14"/>
    </row>
    <row r="31" spans="1:5" ht="21.75" customHeight="1" thickBot="1">
      <c r="A31" s="13"/>
      <c r="B31" s="617" t="s">
        <v>1360</v>
      </c>
      <c r="C31" s="618"/>
      <c r="D31" s="619"/>
      <c r="E31" s="14"/>
    </row>
    <row r="32" spans="1:5" ht="21.75" customHeight="1" thickBot="1">
      <c r="A32" s="13"/>
      <c r="B32" s="55" t="s">
        <v>1756</v>
      </c>
      <c r="C32" s="56"/>
      <c r="D32" s="117"/>
      <c r="E32" s="14"/>
    </row>
    <row r="33" spans="1:7" ht="21.75" customHeight="1" thickBot="1">
      <c r="A33" s="13"/>
      <c r="B33" s="44" t="s">
        <v>1</v>
      </c>
      <c r="C33" s="45"/>
      <c r="D33" s="117"/>
      <c r="E33" s="14"/>
    </row>
    <row r="34" spans="1:7" ht="21.75" customHeight="1" thickBot="1">
      <c r="A34" s="13"/>
      <c r="B34" s="55" t="s">
        <v>1456</v>
      </c>
      <c r="C34" s="56"/>
      <c r="D34" s="117"/>
      <c r="E34" s="14"/>
    </row>
    <row r="35" spans="1:7" ht="21.75" customHeight="1" thickBot="1">
      <c r="A35" s="13"/>
      <c r="B35" s="55" t="s">
        <v>1359</v>
      </c>
      <c r="C35" s="56"/>
      <c r="D35" s="117"/>
      <c r="E35" s="14"/>
    </row>
    <row r="36" spans="1:7" ht="21.75" customHeight="1" thickBot="1">
      <c r="A36" s="13"/>
      <c r="B36" s="123" t="s">
        <v>1457</v>
      </c>
      <c r="C36" s="124"/>
      <c r="D36" s="117"/>
      <c r="E36" s="14"/>
    </row>
    <row r="37" spans="1:7" ht="21.75" customHeight="1" thickBot="1">
      <c r="A37" s="13"/>
      <c r="B37" s="123" t="s">
        <v>1458</v>
      </c>
      <c r="C37" s="124"/>
      <c r="D37" s="117"/>
      <c r="E37" s="14"/>
    </row>
    <row r="38" spans="1:7" ht="21.75" customHeight="1" thickBot="1">
      <c r="A38" s="13"/>
      <c r="B38" s="55" t="s">
        <v>1459</v>
      </c>
      <c r="C38" s="56"/>
      <c r="D38" s="117"/>
      <c r="E38" s="14"/>
    </row>
    <row r="39" spans="1:7" ht="21.75" customHeight="1" thickBot="1">
      <c r="A39" s="13"/>
      <c r="B39" s="55" t="s">
        <v>1449</v>
      </c>
      <c r="C39" s="56"/>
      <c r="D39" s="117"/>
      <c r="E39" s="14"/>
    </row>
    <row r="40" spans="1:7" ht="21.75" customHeight="1" thickBot="1">
      <c r="A40" s="13"/>
      <c r="B40" s="123" t="s">
        <v>1460</v>
      </c>
      <c r="C40" s="124"/>
      <c r="D40" s="117"/>
      <c r="E40" s="14"/>
    </row>
    <row r="41" spans="1:7" ht="21.75" customHeight="1" thickBot="1">
      <c r="A41" s="13"/>
      <c r="B41" s="123" t="s">
        <v>4</v>
      </c>
      <c r="C41" s="124"/>
      <c r="D41" s="117"/>
      <c r="E41" s="14"/>
    </row>
    <row r="42" spans="1:7" ht="21.75" customHeight="1" thickBot="1">
      <c r="A42" s="13"/>
      <c r="B42" s="44" t="s">
        <v>1464</v>
      </c>
      <c r="C42" s="124"/>
      <c r="D42" s="117"/>
      <c r="E42" s="14"/>
    </row>
    <row r="43" spans="1:7" ht="21.75" customHeight="1" thickBot="1">
      <c r="A43" s="13"/>
      <c r="B43" s="44" t="s">
        <v>1465</v>
      </c>
      <c r="C43" s="124"/>
      <c r="D43" s="117"/>
      <c r="E43" s="14"/>
    </row>
    <row r="44" spans="1:7" ht="21.75" customHeight="1" thickBot="1">
      <c r="A44" s="13"/>
      <c r="B44" s="44" t="s">
        <v>1461</v>
      </c>
      <c r="C44" s="45"/>
      <c r="D44" s="117"/>
      <c r="E44" s="14"/>
    </row>
    <row r="45" spans="1:7">
      <c r="A45" s="13"/>
      <c r="B45" s="3"/>
      <c r="C45" s="3"/>
      <c r="D45" s="3"/>
      <c r="E45" s="14"/>
    </row>
    <row r="46" spans="1:7" ht="21">
      <c r="A46" s="13"/>
      <c r="B46" s="47" t="s">
        <v>156</v>
      </c>
      <c r="C46" s="52" cm="1">
        <f t="array" ref="C46:G46">'CTC Pers. Natural'!A88:E88</f>
        <v>0</v>
      </c>
      <c r="D46" s="3">
        <v>0</v>
      </c>
      <c r="E46" s="14">
        <v>0</v>
      </c>
      <c r="F46" s="1">
        <v>0</v>
      </c>
      <c r="G46" s="1">
        <v>0</v>
      </c>
    </row>
    <row r="47" spans="1:7" ht="21">
      <c r="A47" s="13"/>
      <c r="B47" s="616" t="s">
        <v>1364</v>
      </c>
      <c r="C47" s="50"/>
      <c r="D47" s="3"/>
      <c r="E47" s="14"/>
    </row>
    <row r="48" spans="1:7" ht="21">
      <c r="A48" s="13"/>
      <c r="B48" s="616"/>
      <c r="C48" s="50" t="s">
        <v>161</v>
      </c>
      <c r="D48" s="3"/>
      <c r="E48" s="14"/>
    </row>
    <row r="49" spans="1:7">
      <c r="A49" s="13"/>
      <c r="B49" s="3"/>
      <c r="C49" s="3"/>
      <c r="D49" s="3"/>
      <c r="E49" s="14"/>
    </row>
    <row r="50" spans="1:7" ht="11.25" customHeight="1">
      <c r="A50" s="13"/>
      <c r="B50" s="3"/>
      <c r="C50" s="3"/>
      <c r="D50" s="3"/>
      <c r="E50" s="14"/>
    </row>
    <row r="51" spans="1:7" ht="21">
      <c r="A51" s="13"/>
      <c r="B51" s="47" t="s">
        <v>157</v>
      </c>
      <c r="C51" s="52" cm="1">
        <f t="array" ref="C51:G51">'CTC Pers. Natural'!A90:E90</f>
        <v>0</v>
      </c>
      <c r="D51" s="47">
        <v>0</v>
      </c>
      <c r="E51" s="14">
        <v>0</v>
      </c>
      <c r="F51" s="1">
        <v>0</v>
      </c>
      <c r="G51" s="1">
        <v>0</v>
      </c>
    </row>
    <row r="52" spans="1:7" ht="18.75" customHeight="1">
      <c r="A52" s="13"/>
      <c r="B52" s="616" t="s">
        <v>1364</v>
      </c>
      <c r="C52" s="50"/>
      <c r="D52" s="46"/>
      <c r="E52" s="14"/>
    </row>
    <row r="53" spans="1:7" ht="30" customHeight="1">
      <c r="A53" s="13"/>
      <c r="B53" s="616"/>
      <c r="C53" s="50" t="s">
        <v>161</v>
      </c>
      <c r="D53" s="46"/>
      <c r="E53" s="14"/>
    </row>
    <row r="54" spans="1:7" ht="30" customHeight="1">
      <c r="A54" s="13"/>
      <c r="B54" s="48"/>
      <c r="C54" s="48"/>
      <c r="D54" s="46"/>
      <c r="E54" s="14"/>
    </row>
    <row r="55" spans="1:7" ht="12" customHeight="1">
      <c r="A55" s="13"/>
      <c r="B55" s="49"/>
      <c r="C55" s="49"/>
      <c r="D55" s="46"/>
      <c r="E55" s="14"/>
    </row>
    <row r="56" spans="1:7" ht="21.75" customHeight="1">
      <c r="A56" s="13"/>
      <c r="B56" s="47" t="s">
        <v>1400</v>
      </c>
      <c r="C56" s="52" cm="1">
        <f t="array" ref="C56:G56">'CTC Pers. Natural'!A94:E94</f>
        <v>0</v>
      </c>
      <c r="D56" s="47">
        <v>0</v>
      </c>
      <c r="E56" s="14">
        <v>0</v>
      </c>
      <c r="F56" s="1">
        <v>0</v>
      </c>
      <c r="G56" s="1">
        <v>0</v>
      </c>
    </row>
    <row r="57" spans="1:7" ht="30" customHeight="1">
      <c r="A57" s="13"/>
      <c r="B57" s="616" t="s">
        <v>1365</v>
      </c>
      <c r="C57" s="50"/>
      <c r="D57" s="46"/>
      <c r="E57" s="14"/>
    </row>
    <row r="58" spans="1:7" ht="30" customHeight="1">
      <c r="A58" s="13"/>
      <c r="B58" s="616"/>
      <c r="C58" s="50" t="s">
        <v>161</v>
      </c>
      <c r="D58" s="46"/>
      <c r="E58" s="14"/>
    </row>
    <row r="59" spans="1:7" ht="21.75" customHeight="1">
      <c r="A59" s="13"/>
      <c r="B59" s="49"/>
      <c r="C59" s="49"/>
      <c r="D59" s="46"/>
      <c r="E59" s="14"/>
    </row>
    <row r="60" spans="1:7" ht="12" customHeight="1">
      <c r="A60" s="13"/>
      <c r="B60" s="49"/>
      <c r="C60" s="49"/>
      <c r="D60" s="46"/>
      <c r="E60" s="14"/>
    </row>
    <row r="61" spans="1:7" ht="21.75" customHeight="1">
      <c r="A61" s="13"/>
      <c r="B61" s="47" t="s">
        <v>159</v>
      </c>
      <c r="C61" s="46"/>
      <c r="D61" s="46"/>
      <c r="E61" s="14"/>
    </row>
    <row r="62" spans="1:7" ht="21.75" customHeight="1">
      <c r="A62" s="13"/>
      <c r="B62" s="616" t="s">
        <v>162</v>
      </c>
      <c r="C62" s="50"/>
      <c r="D62" s="46"/>
      <c r="E62" s="14"/>
    </row>
    <row r="63" spans="1:7" ht="21.75" customHeight="1">
      <c r="A63" s="13"/>
      <c r="B63" s="616"/>
      <c r="C63" s="50" t="s">
        <v>161</v>
      </c>
      <c r="D63" s="46"/>
      <c r="E63" s="14"/>
    </row>
    <row r="64" spans="1:7" ht="21.75" customHeight="1">
      <c r="A64" s="13"/>
      <c r="B64" s="48"/>
      <c r="C64" s="48"/>
      <c r="D64" s="46"/>
      <c r="E64" s="14"/>
    </row>
    <row r="65" spans="1:5" ht="45.75" customHeight="1">
      <c r="A65" s="13"/>
      <c r="B65" s="47" t="s">
        <v>160</v>
      </c>
      <c r="C65" s="50" t="s">
        <v>161</v>
      </c>
      <c r="D65" s="46"/>
      <c r="E65" s="14"/>
    </row>
    <row r="66" spans="1:5" ht="19.5" thickBot="1">
      <c r="A66" s="15"/>
      <c r="B66" s="16"/>
      <c r="C66" s="16"/>
      <c r="D66" s="16"/>
      <c r="E66" s="17"/>
    </row>
  </sheetData>
  <mergeCells count="11">
    <mergeCell ref="D9:D15"/>
    <mergeCell ref="B20:C20"/>
    <mergeCell ref="B19:C19"/>
    <mergeCell ref="B62:B63"/>
    <mergeCell ref="B16:D16"/>
    <mergeCell ref="B31:D31"/>
    <mergeCell ref="B52:B53"/>
    <mergeCell ref="B57:B58"/>
    <mergeCell ref="B17:C17"/>
    <mergeCell ref="B47:B48"/>
    <mergeCell ref="B27:C27"/>
  </mergeCells>
  <conditionalFormatting sqref="D17">
    <cfRule type="iconSet" priority="8">
      <iconSet iconSet="3Symbols2" showValue="0">
        <cfvo type="percent" val="0"/>
        <cfvo type="num" val="1"/>
        <cfvo type="num" val="1"/>
      </iconSet>
    </cfRule>
  </conditionalFormatting>
  <conditionalFormatting sqref="D19">
    <cfRule type="iconSet" priority="5">
      <iconSet iconSet="3Symbols2" showValue="0">
        <cfvo type="percent" val="0"/>
        <cfvo type="num" val="1"/>
        <cfvo type="num" val="1"/>
      </iconSet>
    </cfRule>
  </conditionalFormatting>
  <conditionalFormatting sqref="D25:D30">
    <cfRule type="iconSet" priority="4">
      <iconSet iconSet="3Symbols2" showValue="0">
        <cfvo type="percent" val="0"/>
        <cfvo type="num" val="1"/>
        <cfvo type="num" val="1"/>
      </iconSet>
    </cfRule>
  </conditionalFormatting>
  <conditionalFormatting sqref="D20:D24">
    <cfRule type="iconSet" priority="1">
      <iconSet iconSet="3Symbols2" showValue="0">
        <cfvo type="percent" val="0"/>
        <cfvo type="num" val="1"/>
        <cfvo type="num" val="1"/>
      </iconSet>
    </cfRule>
  </conditionalFormatting>
  <conditionalFormatting sqref="D18 D32:D44">
    <cfRule type="iconSet" priority="75">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5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8EECE-BD78-4183-8F17-25B0DCD780EB}">
  <sheetPr codeName="Hoja13">
    <tabColor theme="8" tint="0.59999389629810485"/>
    <pageSetUpPr fitToPage="1"/>
  </sheetPr>
  <dimension ref="A1:G60"/>
  <sheetViews>
    <sheetView showGridLines="0" showZeros="0" topLeftCell="A4" zoomScale="120" zoomScaleNormal="120" workbookViewId="0">
      <selection activeCell="F19" sqref="F19"/>
    </sheetView>
  </sheetViews>
  <sheetFormatPr baseColWidth="10" defaultColWidth="11.42578125" defaultRowHeight="14.25"/>
  <cols>
    <col min="1" max="1" width="16.140625" style="176" customWidth="1" collapsed="1"/>
    <col min="2" max="2" width="21.7109375" style="176" customWidth="1" collapsed="1"/>
    <col min="3" max="3" width="12.42578125" style="176" customWidth="1" collapsed="1"/>
    <col min="4" max="4" width="14.28515625" style="176" customWidth="1" collapsed="1"/>
    <col min="5" max="5" width="13" style="176" customWidth="1" collapsed="1"/>
    <col min="6" max="6" width="22.42578125" style="176" customWidth="1" collapsed="1"/>
    <col min="7" max="7" width="19.140625" style="176" customWidth="1" collapsed="1"/>
    <col min="8" max="16384" width="11.42578125" style="176" collapsed="1"/>
  </cols>
  <sheetData>
    <row r="1" spans="1:7" ht="15">
      <c r="E1" s="622"/>
      <c r="F1" s="622"/>
      <c r="G1" s="622"/>
    </row>
    <row r="2" spans="1:7" ht="15" customHeight="1">
      <c r="E2" s="623"/>
      <c r="F2" s="623"/>
      <c r="G2" s="623"/>
    </row>
    <row r="3" spans="1:7" ht="15.75">
      <c r="E3" s="621" t="s">
        <v>59</v>
      </c>
      <c r="F3" s="621"/>
      <c r="G3" s="621"/>
    </row>
    <row r="4" spans="1:7" ht="15.75">
      <c r="E4" s="621" t="s">
        <v>68</v>
      </c>
      <c r="F4" s="621"/>
      <c r="G4" s="621"/>
    </row>
    <row r="5" spans="1:7" ht="15.75">
      <c r="E5" s="621" t="s">
        <v>60</v>
      </c>
      <c r="F5" s="621"/>
      <c r="G5" s="621"/>
    </row>
    <row r="6" spans="1:7" ht="15" customHeight="1">
      <c r="B6" s="247"/>
      <c r="C6" s="247"/>
      <c r="D6" s="247"/>
      <c r="E6" s="621" t="s">
        <v>61</v>
      </c>
      <c r="F6" s="621"/>
      <c r="G6" s="621"/>
    </row>
    <row r="7" spans="1:7" ht="21" customHeight="1">
      <c r="A7" s="626" t="s">
        <v>1455</v>
      </c>
      <c r="B7" s="626"/>
      <c r="C7" s="626"/>
      <c r="D7"/>
      <c r="E7"/>
      <c r="F7" s="291"/>
      <c r="G7" s="292"/>
    </row>
    <row r="8" spans="1:7" ht="15.75">
      <c r="A8" s="293"/>
      <c r="B8" s="294"/>
      <c r="C8" s="294"/>
      <c r="D8" s="294"/>
      <c r="E8" s="294"/>
      <c r="F8" s="294"/>
      <c r="G8" s="294"/>
    </row>
    <row r="9" spans="1:7" ht="21" customHeight="1">
      <c r="A9" s="627" t="s">
        <v>2389</v>
      </c>
      <c r="B9" s="627"/>
      <c r="C9" s="628" t="str">
        <f>CONCATENATE('CTC Pers. Natural'!B10," ",'CTC Pers. Natural'!F10," ",'CTC Pers. Natural'!H10," ",'CTC Pers. Natural'!B11)</f>
        <v xml:space="preserve">   </v>
      </c>
      <c r="D9" s="628"/>
      <c r="E9" s="628"/>
      <c r="F9" s="627" t="s">
        <v>2408</v>
      </c>
      <c r="G9" s="627"/>
    </row>
    <row r="10" spans="1:7" ht="21" customHeight="1">
      <c r="A10" s="294" t="s">
        <v>2409</v>
      </c>
      <c r="B10" s="294"/>
      <c r="C10" s="311">
        <f>+'CTC Pers. Natural'!B14</f>
        <v>0</v>
      </c>
      <c r="D10" s="311"/>
      <c r="E10" s="625" t="s">
        <v>2404</v>
      </c>
      <c r="F10" s="625"/>
      <c r="G10" s="625"/>
    </row>
    <row r="11" spans="1:7" ht="21" customHeight="1">
      <c r="A11" s="304" t="s">
        <v>2405</v>
      </c>
      <c r="B11" s="304"/>
      <c r="C11" s="299"/>
      <c r="D11" s="299"/>
      <c r="E11" s="295"/>
      <c r="F11" s="295"/>
      <c r="G11" s="295"/>
    </row>
    <row r="12" spans="1:7" ht="21" customHeight="1">
      <c r="A12" s="625" t="s">
        <v>2406</v>
      </c>
      <c r="B12" s="625"/>
      <c r="C12" s="625"/>
      <c r="D12" s="625"/>
      <c r="E12" s="625"/>
      <c r="F12" s="625"/>
      <c r="G12" s="625"/>
    </row>
    <row r="13" spans="1:7" ht="20.45" customHeight="1">
      <c r="A13" s="625" t="s">
        <v>2407</v>
      </c>
      <c r="B13" s="625"/>
      <c r="C13" s="625"/>
      <c r="D13" s="625"/>
      <c r="E13" s="625"/>
      <c r="F13" s="625"/>
      <c r="G13" s="625"/>
    </row>
    <row r="14" spans="1:7" ht="20.45" customHeight="1">
      <c r="A14" s="295"/>
      <c r="B14" s="295"/>
      <c r="C14" s="295"/>
      <c r="D14" s="295"/>
      <c r="E14" s="295"/>
      <c r="F14" s="295"/>
      <c r="G14" s="295"/>
    </row>
    <row r="15" spans="1:7" ht="21" customHeight="1">
      <c r="A15" s="629" t="s">
        <v>2390</v>
      </c>
      <c r="B15" s="625"/>
      <c r="C15" s="625"/>
      <c r="D15" s="625"/>
      <c r="E15" s="625"/>
      <c r="F15" s="625"/>
      <c r="G15" s="625"/>
    </row>
    <row r="16" spans="1:7" ht="15.6" customHeight="1">
      <c r="A16" s="296"/>
      <c r="B16" s="297"/>
      <c r="C16" s="297"/>
      <c r="D16" s="297"/>
      <c r="E16" s="297"/>
      <c r="F16" s="297"/>
      <c r="G16" s="297"/>
    </row>
    <row r="17" spans="1:7" ht="15.75">
      <c r="A17" s="293" t="s">
        <v>2391</v>
      </c>
      <c r="B17" s="635">
        <f>'PORTADA FILE VENTAS'!C6</f>
        <v>0</v>
      </c>
      <c r="C17" s="635"/>
      <c r="D17" s="312"/>
      <c r="E17" s="312"/>
      <c r="F17" s="312"/>
      <c r="G17" s="294"/>
    </row>
    <row r="18" spans="1:7" ht="15.75">
      <c r="A18" s="293" t="s">
        <v>2392</v>
      </c>
      <c r="B18" s="624">
        <f>'PORTADA FILE VENTAS'!C7</f>
        <v>0</v>
      </c>
      <c r="C18" s="624"/>
      <c r="D18" s="304"/>
      <c r="E18" s="304"/>
      <c r="F18" s="304"/>
      <c r="G18" s="294"/>
    </row>
    <row r="19" spans="1:7" ht="15.75">
      <c r="A19" s="293" t="s">
        <v>64</v>
      </c>
      <c r="B19" s="624"/>
      <c r="C19" s="624"/>
      <c r="D19" s="294"/>
      <c r="E19" s="294"/>
      <c r="F19" s="294"/>
      <c r="G19" s="294"/>
    </row>
    <row r="20" spans="1:7" ht="15.75">
      <c r="A20" s="293" t="s">
        <v>42</v>
      </c>
      <c r="B20" s="624">
        <f>'PORTADA FILE VENTAS'!C8</f>
        <v>0</v>
      </c>
      <c r="C20" s="624"/>
      <c r="D20" s="294"/>
      <c r="E20" s="294"/>
      <c r="F20" s="294"/>
      <c r="G20" s="294"/>
    </row>
    <row r="21" spans="1:7" ht="15.75">
      <c r="A21" s="293" t="s">
        <v>34</v>
      </c>
      <c r="B21" s="624">
        <f>'PORTADA FILE VENTAS'!C9</f>
        <v>0</v>
      </c>
      <c r="C21" s="624"/>
      <c r="D21" s="294"/>
      <c r="E21" s="294"/>
      <c r="F21" s="294"/>
      <c r="G21" s="294"/>
    </row>
    <row r="22" spans="1:7" ht="15.75">
      <c r="A22" s="293" t="s">
        <v>65</v>
      </c>
      <c r="B22" s="633">
        <f>'PORTADA FILE VENTAS'!C11</f>
        <v>0</v>
      </c>
      <c r="C22" s="624"/>
      <c r="D22" s="294"/>
      <c r="E22" s="294"/>
      <c r="F22" s="294"/>
      <c r="G22" s="294"/>
    </row>
    <row r="23" spans="1:7" ht="15.75">
      <c r="A23" s="293" t="s">
        <v>66</v>
      </c>
      <c r="B23" s="624">
        <f>'PORTADA FILE VENTAS'!C10</f>
        <v>0</v>
      </c>
      <c r="C23" s="624"/>
      <c r="D23" s="294"/>
      <c r="E23" s="294"/>
      <c r="F23" s="294"/>
      <c r="G23" s="294"/>
    </row>
    <row r="24" spans="1:7" ht="15.75">
      <c r="A24" s="293" t="s">
        <v>67</v>
      </c>
      <c r="B24" s="624">
        <f>'PORTADA FILE VENTAS'!C12</f>
        <v>0</v>
      </c>
      <c r="C24" s="624"/>
      <c r="D24" s="294"/>
      <c r="E24" s="294"/>
      <c r="F24" s="294"/>
      <c r="G24" s="294"/>
    </row>
    <row r="25" spans="1:7" ht="15">
      <c r="A25" s="43"/>
      <c r="B25"/>
      <c r="C25"/>
      <c r="D25"/>
      <c r="E25"/>
      <c r="F25"/>
      <c r="G25"/>
    </row>
    <row r="26" spans="1:7" ht="21" customHeight="1">
      <c r="A26" s="625" t="s">
        <v>2393</v>
      </c>
      <c r="B26" s="625"/>
      <c r="C26" s="625"/>
      <c r="D26" s="625"/>
      <c r="E26" s="625"/>
      <c r="F26" s="625"/>
      <c r="G26" s="625"/>
    </row>
    <row r="27" spans="1:7" ht="21" customHeight="1">
      <c r="A27" s="293" t="s">
        <v>2394</v>
      </c>
      <c r="B27" s="294"/>
      <c r="C27" s="294"/>
      <c r="D27" s="294"/>
      <c r="E27" s="294"/>
      <c r="F27" s="294"/>
      <c r="G27" s="294"/>
    </row>
    <row r="28" spans="1:7" ht="15.75">
      <c r="A28" s="293"/>
      <c r="B28" s="294"/>
      <c r="C28" s="294"/>
      <c r="D28" s="294"/>
      <c r="E28" s="294"/>
      <c r="F28" s="294"/>
      <c r="G28" s="294"/>
    </row>
    <row r="29" spans="1:7" ht="27" customHeight="1">
      <c r="A29" s="629" t="s">
        <v>2395</v>
      </c>
      <c r="B29" s="629"/>
      <c r="C29" s="629"/>
      <c r="D29" s="629"/>
      <c r="E29" s="629"/>
      <c r="F29" s="629"/>
      <c r="G29" s="629"/>
    </row>
    <row r="30" spans="1:7" ht="21" customHeight="1">
      <c r="A30" s="294" t="s">
        <v>2396</v>
      </c>
      <c r="B30" s="294"/>
      <c r="C30" s="294"/>
      <c r="D30" s="294"/>
      <c r="E30" s="634">
        <f>+E26</f>
        <v>0</v>
      </c>
      <c r="F30" s="634"/>
      <c r="G30" s="294"/>
    </row>
    <row r="31" spans="1:7" ht="15.75">
      <c r="A31" s="293"/>
      <c r="B31" s="294"/>
      <c r="C31" s="294"/>
      <c r="D31" s="294"/>
      <c r="E31" s="294"/>
      <c r="F31" s="294"/>
      <c r="G31" s="294"/>
    </row>
    <row r="32" spans="1:7" ht="21" customHeight="1">
      <c r="A32" s="629" t="s">
        <v>2397</v>
      </c>
      <c r="B32" s="629"/>
      <c r="C32" s="629"/>
      <c r="D32" s="629"/>
      <c r="E32" s="298">
        <v>0</v>
      </c>
      <c r="F32" s="299"/>
      <c r="G32" s="299"/>
    </row>
    <row r="33" spans="1:7" ht="15.75">
      <c r="A33" s="293"/>
      <c r="B33" s="294"/>
      <c r="C33" s="294"/>
      <c r="D33" s="294"/>
      <c r="E33" s="294"/>
      <c r="F33" s="294"/>
      <c r="G33" s="294"/>
    </row>
    <row r="34" spans="1:7" ht="21" customHeight="1">
      <c r="A34" s="625" t="s">
        <v>2398</v>
      </c>
      <c r="B34" s="629"/>
      <c r="C34" s="629"/>
      <c r="D34" s="629"/>
      <c r="E34" s="629"/>
      <c r="F34" s="629"/>
      <c r="G34" s="629"/>
    </row>
    <row r="35" spans="1:7" ht="21" customHeight="1">
      <c r="A35" s="300"/>
      <c r="B35" s="301" t="s">
        <v>2399</v>
      </c>
      <c r="C35" s="302"/>
      <c r="D35" s="297" t="s">
        <v>2400</v>
      </c>
      <c r="E35" s="303"/>
      <c r="F35" s="296"/>
      <c r="G35" s="296"/>
    </row>
    <row r="36" spans="1:7" ht="15">
      <c r="A36" s="43"/>
      <c r="B36"/>
      <c r="C36"/>
      <c r="D36"/>
      <c r="E36"/>
      <c r="F36"/>
      <c r="G36"/>
    </row>
    <row r="37" spans="1:7" ht="15.6" customHeight="1">
      <c r="A37" s="304" t="s">
        <v>2401</v>
      </c>
      <c r="B37" s="294"/>
      <c r="C37" s="294"/>
      <c r="D37" s="294"/>
      <c r="E37" s="294"/>
      <c r="F37" s="304" t="s">
        <v>2246</v>
      </c>
      <c r="G37" s="294"/>
    </row>
    <row r="38" spans="1:7" ht="15.6" customHeight="1">
      <c r="A38" s="305" t="str">
        <f>C9</f>
        <v xml:space="preserve">   </v>
      </c>
      <c r="B38" s="304"/>
      <c r="C38" s="294"/>
      <c r="D38" s="294"/>
      <c r="E38" s="294"/>
      <c r="F38" s="304" t="s">
        <v>0</v>
      </c>
      <c r="G38" s="294"/>
    </row>
    <row r="39" spans="1:7" ht="15.6" customHeight="1">
      <c r="A39" s="294">
        <f>F10</f>
        <v>0</v>
      </c>
      <c r="B39" s="304"/>
      <c r="C39" s="304"/>
      <c r="D39" s="304"/>
      <c r="E39" s="294"/>
      <c r="F39" s="294" t="s">
        <v>2402</v>
      </c>
      <c r="G39" s="294"/>
    </row>
    <row r="40" spans="1:7" ht="26.1" customHeight="1">
      <c r="A40" s="294" t="s">
        <v>2403</v>
      </c>
      <c r="B40" s="306"/>
      <c r="C40" s="307"/>
      <c r="D40" s="294"/>
      <c r="E40" s="294"/>
      <c r="F40" s="308"/>
      <c r="G40" s="294"/>
    </row>
    <row r="41" spans="1:7" ht="15">
      <c r="A41" s="309"/>
      <c r="B41" s="310"/>
      <c r="C41" s="310"/>
      <c r="D41" s="310"/>
      <c r="E41" s="310"/>
      <c r="F41" s="310"/>
      <c r="G41" s="310"/>
    </row>
    <row r="42" spans="1:7" ht="15">
      <c r="A42" s="630" t="s">
        <v>2217</v>
      </c>
      <c r="B42" s="631"/>
      <c r="C42" s="631"/>
      <c r="D42" s="631"/>
      <c r="E42" s="631"/>
      <c r="F42" s="631"/>
      <c r="G42" s="631"/>
    </row>
    <row r="43" spans="1:7">
      <c r="A43" s="632" t="s">
        <v>2202</v>
      </c>
      <c r="B43" s="632"/>
      <c r="C43" s="632"/>
      <c r="D43" s="632"/>
      <c r="E43" s="632"/>
      <c r="F43" s="632"/>
      <c r="G43" s="632"/>
    </row>
    <row r="44" spans="1:7">
      <c r="A44" s="632"/>
      <c r="B44" s="632"/>
      <c r="C44" s="632"/>
      <c r="D44" s="632"/>
      <c r="E44" s="632"/>
      <c r="F44" s="632"/>
      <c r="G44" s="632"/>
    </row>
    <row r="45" spans="1:7">
      <c r="A45" s="632"/>
      <c r="B45" s="632"/>
      <c r="C45" s="632"/>
      <c r="D45" s="632"/>
      <c r="E45" s="632"/>
      <c r="F45" s="632"/>
      <c r="G45" s="632"/>
    </row>
    <row r="46" spans="1:7" ht="3.6" customHeight="1">
      <c r="A46" s="632"/>
      <c r="B46" s="632"/>
      <c r="C46" s="632"/>
      <c r="D46" s="632"/>
      <c r="E46" s="632"/>
      <c r="F46" s="632"/>
      <c r="G46" s="632"/>
    </row>
    <row r="47" spans="1:7">
      <c r="A47" s="19"/>
    </row>
    <row r="48" spans="1:7" ht="18.600000000000001" customHeight="1">
      <c r="A48" s="19"/>
    </row>
    <row r="49" spans="1:1" ht="18.600000000000001" customHeight="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sheetData>
  <mergeCells count="29">
    <mergeCell ref="A32:D32"/>
    <mergeCell ref="A34:G34"/>
    <mergeCell ref="A42:G42"/>
    <mergeCell ref="A43:G46"/>
    <mergeCell ref="E10:G10"/>
    <mergeCell ref="B22:C22"/>
    <mergeCell ref="B23:C23"/>
    <mergeCell ref="B24:C24"/>
    <mergeCell ref="A26:G26"/>
    <mergeCell ref="A29:G29"/>
    <mergeCell ref="E30:F30"/>
    <mergeCell ref="A15:G15"/>
    <mergeCell ref="B17:C17"/>
    <mergeCell ref="B18:C18"/>
    <mergeCell ref="B19:C19"/>
    <mergeCell ref="B20:C20"/>
    <mergeCell ref="B21:C21"/>
    <mergeCell ref="A12:G12"/>
    <mergeCell ref="A13:G13"/>
    <mergeCell ref="A7:C7"/>
    <mergeCell ref="A9:B9"/>
    <mergeCell ref="C9:E9"/>
    <mergeCell ref="F9:G9"/>
    <mergeCell ref="E6:G6"/>
    <mergeCell ref="E1:G1"/>
    <mergeCell ref="E2:G2"/>
    <mergeCell ref="E3:G3"/>
    <mergeCell ref="E4:G4"/>
    <mergeCell ref="E5:G5"/>
  </mergeCells>
  <printOptions horizontalCentered="1"/>
  <pageMargins left="0.55000000000000004" right="0.51181102362204722" top="0.74803149606299213" bottom="0.74803149606299213" header="0.31496062992125984" footer="0.31496062992125984"/>
  <pageSetup scale="80" fitToHeight="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0FCE3-DE95-4675-B18F-24A0B1EF20F6}">
  <sheetPr codeName="Hoja19">
    <tabColor theme="5" tint="-0.249977111117893"/>
    <pageSetUpPr fitToPage="1"/>
  </sheetPr>
  <dimension ref="A1:H32"/>
  <sheetViews>
    <sheetView showZeros="0" zoomScale="70" zoomScaleNormal="70" workbookViewId="0">
      <selection activeCell="C24" sqref="C24:D24"/>
    </sheetView>
  </sheetViews>
  <sheetFormatPr baseColWidth="10" defaultColWidth="11.42578125" defaultRowHeight="15"/>
  <cols>
    <col min="1" max="1" width="33.85546875" customWidth="1" collapsed="1"/>
    <col min="2" max="2" width="17.140625" customWidth="1" collapsed="1"/>
    <col min="3" max="3" width="12.28515625" customWidth="1"/>
    <col min="4" max="4" width="9.85546875" customWidth="1" collapsed="1"/>
    <col min="5" max="5" width="30.5703125" customWidth="1" collapsed="1"/>
    <col min="6" max="6" width="29.42578125" customWidth="1" collapsed="1"/>
    <col min="7" max="7" width="24.7109375" customWidth="1" collapsed="1"/>
    <col min="8" max="8" width="25" customWidth="1" collapsed="1"/>
  </cols>
  <sheetData>
    <row r="1" spans="1:8" ht="23.25">
      <c r="A1" s="647" t="str">
        <f>+FORMULARIO!A1</f>
        <v>PANAMA CAR RENTAL, S.A.</v>
      </c>
      <c r="B1" s="647"/>
      <c r="C1" s="647"/>
      <c r="D1" s="647"/>
      <c r="E1" s="647"/>
      <c r="F1" s="647"/>
      <c r="G1" s="647"/>
      <c r="H1" s="647"/>
    </row>
    <row r="2" spans="1:8" ht="17.25" customHeight="1">
      <c r="A2" s="648" t="s">
        <v>2293</v>
      </c>
      <c r="B2" s="648"/>
      <c r="C2" s="648"/>
      <c r="D2" s="648"/>
      <c r="E2" s="648"/>
      <c r="F2" s="648"/>
      <c r="G2" s="648"/>
      <c r="H2" s="648"/>
    </row>
    <row r="3" spans="1:8" ht="17.25" customHeight="1">
      <c r="A3" s="648" t="s">
        <v>2264</v>
      </c>
      <c r="B3" s="648"/>
      <c r="C3" s="648"/>
      <c r="D3" s="648"/>
      <c r="E3" s="648"/>
      <c r="F3" s="648"/>
      <c r="G3" s="648"/>
      <c r="H3" s="648"/>
    </row>
    <row r="4" spans="1:8" s="1" customFormat="1" ht="17.25" customHeight="1">
      <c r="A4" s="648" t="s">
        <v>1764</v>
      </c>
      <c r="B4" s="648"/>
      <c r="C4" s="648"/>
      <c r="D4" s="648"/>
      <c r="E4" s="648"/>
      <c r="F4" s="648"/>
      <c r="G4" s="648"/>
      <c r="H4" s="648"/>
    </row>
    <row r="5" spans="1:8" s="1" customFormat="1" ht="17.25" customHeight="1">
      <c r="A5" s="649"/>
      <c r="B5" s="649"/>
      <c r="C5" s="649"/>
      <c r="D5" s="649"/>
      <c r="E5" s="649"/>
      <c r="F5" s="649"/>
      <c r="G5" s="649"/>
      <c r="H5" s="649"/>
    </row>
    <row r="6" spans="1:8" ht="17.25" customHeight="1">
      <c r="A6" s="645" t="s">
        <v>2265</v>
      </c>
      <c r="B6" s="645"/>
      <c r="C6" s="645"/>
      <c r="D6" s="645"/>
      <c r="E6" s="645"/>
      <c r="F6" s="645"/>
      <c r="G6" s="645"/>
      <c r="H6" s="645"/>
    </row>
    <row r="7" spans="1:8" ht="17.25" customHeight="1">
      <c r="A7" s="644"/>
      <c r="B7" s="644"/>
      <c r="C7" s="644"/>
      <c r="D7" s="644"/>
      <c r="E7" s="644"/>
      <c r="F7" s="644"/>
      <c r="G7" s="644"/>
      <c r="H7" s="644"/>
    </row>
    <row r="8" spans="1:8" ht="18.600000000000001" customHeight="1">
      <c r="A8" s="645" t="s">
        <v>2266</v>
      </c>
      <c r="B8" s="645"/>
      <c r="C8" s="645"/>
      <c r="D8" s="645"/>
      <c r="E8" s="645"/>
      <c r="F8" s="645"/>
      <c r="G8" s="645"/>
      <c r="H8" s="645"/>
    </row>
    <row r="9" spans="1:8" ht="18.600000000000001" customHeight="1">
      <c r="A9" s="645" t="s">
        <v>1466</v>
      </c>
      <c r="B9" s="645"/>
      <c r="C9" s="645"/>
      <c r="D9" s="645"/>
      <c r="E9" s="645"/>
      <c r="F9" s="645"/>
      <c r="G9" s="645"/>
      <c r="H9" s="645"/>
    </row>
    <row r="10" spans="1:8" ht="18.600000000000001" customHeight="1">
      <c r="A10" s="645" t="s">
        <v>2278</v>
      </c>
      <c r="B10" s="645"/>
      <c r="C10" s="645"/>
      <c r="D10" s="645"/>
      <c r="E10" s="645"/>
      <c r="F10" s="645"/>
      <c r="G10" s="645"/>
      <c r="H10" s="645"/>
    </row>
    <row r="11" spans="1:8" ht="18.600000000000001" customHeight="1">
      <c r="A11" s="52"/>
      <c r="B11" s="52"/>
      <c r="C11" s="52"/>
      <c r="D11" s="52"/>
      <c r="E11" s="52"/>
      <c r="F11" s="52"/>
      <c r="G11" s="52"/>
      <c r="H11" s="52"/>
    </row>
    <row r="12" spans="1:8" ht="18.600000000000001" customHeight="1">
      <c r="A12" s="644"/>
      <c r="B12" s="644"/>
      <c r="C12" s="644"/>
      <c r="D12" s="644"/>
      <c r="E12" s="644"/>
      <c r="F12" s="644"/>
      <c r="G12" s="644"/>
      <c r="H12" s="644"/>
    </row>
    <row r="13" spans="1:8" ht="18.600000000000001" customHeight="1">
      <c r="A13" s="645" t="s">
        <v>2277</v>
      </c>
      <c r="B13" s="645"/>
      <c r="C13" s="645"/>
      <c r="D13" s="645"/>
      <c r="E13" s="645"/>
      <c r="F13" s="645"/>
      <c r="G13" s="645"/>
      <c r="H13" s="645"/>
    </row>
    <row r="14" spans="1:8" ht="18.600000000000001" customHeight="1">
      <c r="A14" s="52"/>
      <c r="B14" s="52"/>
      <c r="C14" s="52"/>
      <c r="D14" s="52"/>
      <c r="E14" s="52"/>
      <c r="F14" s="52"/>
      <c r="G14" s="52"/>
      <c r="H14" s="52"/>
    </row>
    <row r="15" spans="1:8" ht="23.25" customHeight="1">
      <c r="A15" s="279" t="s">
        <v>2336</v>
      </c>
      <c r="B15" s="646" t="str">
        <f>CONCATENATE('CTC Pers. Natural'!B10," ",'CTC Pers. Natural'!F10," ",'CTC Pers. Natural'!H10," ",'CTC Pers. Natural'!B11)</f>
        <v xml:space="preserve">   </v>
      </c>
      <c r="C15" s="646"/>
      <c r="D15" s="646"/>
      <c r="E15" s="646"/>
      <c r="F15" s="646"/>
      <c r="G15" s="644" t="s">
        <v>2337</v>
      </c>
      <c r="H15" s="644"/>
    </row>
    <row r="16" spans="1:8" ht="23.25" customHeight="1">
      <c r="A16" s="280">
        <f>+'CTC Pers. Natural'!B14</f>
        <v>0</v>
      </c>
      <c r="B16" s="644" t="s">
        <v>2338</v>
      </c>
      <c r="C16" s="644"/>
      <c r="D16" s="644"/>
      <c r="E16" s="644"/>
      <c r="F16" s="644"/>
      <c r="G16" s="644"/>
      <c r="H16" s="644"/>
    </row>
    <row r="17" spans="1:8" ht="23.25" customHeight="1">
      <c r="A17" s="645" t="s">
        <v>2339</v>
      </c>
      <c r="B17" s="645"/>
      <c r="C17" s="645"/>
      <c r="D17" s="645"/>
      <c r="E17" s="645"/>
      <c r="F17" s="645"/>
      <c r="G17" s="645"/>
      <c r="H17" s="280"/>
    </row>
    <row r="18" spans="1:8" ht="23.25" customHeight="1">
      <c r="A18" s="646"/>
      <c r="B18" s="646"/>
      <c r="C18" s="646"/>
      <c r="D18" s="646"/>
      <c r="E18" s="279" t="s">
        <v>2340</v>
      </c>
      <c r="F18" s="280"/>
      <c r="G18" s="279" t="s">
        <v>2341</v>
      </c>
      <c r="H18" s="280"/>
    </row>
    <row r="19" spans="1:8" ht="24" customHeight="1">
      <c r="A19" s="52" t="s">
        <v>2342</v>
      </c>
      <c r="B19" s="643"/>
      <c r="C19" s="643"/>
      <c r="D19" s="643"/>
      <c r="E19" s="52" t="s">
        <v>2343</v>
      </c>
      <c r="F19" s="281"/>
      <c r="G19" s="272"/>
      <c r="H19" s="272"/>
    </row>
    <row r="20" spans="1:8" ht="23.25" customHeight="1">
      <c r="A20" s="637"/>
      <c r="B20" s="637"/>
      <c r="C20" s="637"/>
      <c r="D20" s="637"/>
      <c r="E20" s="637"/>
      <c r="F20" s="637"/>
      <c r="G20" s="637"/>
      <c r="H20" s="637"/>
    </row>
    <row r="21" spans="1:8" ht="23.25" customHeight="1">
      <c r="A21" s="641" t="s">
        <v>2267</v>
      </c>
      <c r="B21" s="641"/>
      <c r="C21" s="638"/>
      <c r="D21" s="638"/>
      <c r="E21" s="637" t="s">
        <v>2346</v>
      </c>
      <c r="F21" s="637"/>
      <c r="G21" s="637"/>
      <c r="H21" s="282"/>
    </row>
    <row r="22" spans="1:8" ht="23.25" customHeight="1">
      <c r="A22" s="638"/>
      <c r="B22" s="638"/>
      <c r="C22" s="638"/>
      <c r="D22" s="637" t="s">
        <v>2347</v>
      </c>
      <c r="E22" s="637"/>
      <c r="F22" s="282"/>
      <c r="G22" s="637"/>
      <c r="H22" s="637"/>
    </row>
    <row r="23" spans="1:8" ht="23.25" customHeight="1">
      <c r="A23" s="641"/>
      <c r="B23" s="641"/>
      <c r="C23" s="637"/>
      <c r="D23" s="637"/>
      <c r="E23" s="637"/>
      <c r="F23" s="637"/>
      <c r="G23" s="637"/>
      <c r="H23" s="637"/>
    </row>
    <row r="24" spans="1:8" ht="29.25" customHeight="1">
      <c r="A24" s="271" t="s">
        <v>23</v>
      </c>
      <c r="B24" s="271"/>
      <c r="C24" s="637"/>
      <c r="D24" s="637"/>
      <c r="E24" s="637"/>
      <c r="F24" s="637"/>
      <c r="G24" s="637"/>
      <c r="H24" s="637"/>
    </row>
    <row r="25" spans="1:8" ht="69.75" customHeight="1">
      <c r="A25" s="637"/>
      <c r="B25" s="637"/>
      <c r="C25" s="637"/>
      <c r="D25" s="637"/>
      <c r="E25" s="642" t="s">
        <v>2276</v>
      </c>
      <c r="F25" s="642"/>
      <c r="G25" s="637"/>
      <c r="H25" s="637"/>
    </row>
    <row r="26" spans="1:8" ht="15" customHeight="1">
      <c r="A26" s="637"/>
      <c r="B26" s="637"/>
      <c r="C26" s="637"/>
      <c r="D26" s="637"/>
      <c r="E26" s="637"/>
      <c r="F26" s="637"/>
      <c r="G26" s="637"/>
      <c r="H26" s="637"/>
    </row>
    <row r="27" spans="1:8" ht="19.5" customHeight="1">
      <c r="A27" s="271" t="s">
        <v>2274</v>
      </c>
      <c r="B27" s="638"/>
      <c r="C27" s="638"/>
      <c r="D27" s="638"/>
      <c r="E27" s="638"/>
      <c r="F27" s="637"/>
      <c r="G27" s="637"/>
      <c r="H27" s="637"/>
    </row>
    <row r="28" spans="1:8" ht="19.5" customHeight="1">
      <c r="A28" s="271" t="s">
        <v>2275</v>
      </c>
      <c r="B28" s="638"/>
      <c r="C28" s="638"/>
      <c r="D28" s="264"/>
      <c r="E28" s="264"/>
      <c r="F28" s="637"/>
      <c r="G28" s="637"/>
      <c r="H28" s="637"/>
    </row>
    <row r="29" spans="1:8" ht="19.5" customHeight="1">
      <c r="A29" s="637"/>
      <c r="B29" s="637"/>
      <c r="C29" s="637"/>
      <c r="D29" s="637"/>
      <c r="E29" s="637"/>
      <c r="F29" s="637"/>
      <c r="G29" s="637"/>
      <c r="H29" s="637"/>
    </row>
    <row r="30" spans="1:8" ht="21">
      <c r="A30" s="639" t="s">
        <v>2217</v>
      </c>
      <c r="B30" s="639"/>
      <c r="C30" s="639"/>
      <c r="D30" s="639"/>
      <c r="E30" s="639"/>
      <c r="F30" s="639"/>
      <c r="G30" s="639"/>
      <c r="H30" s="639"/>
    </row>
    <row r="31" spans="1:8" ht="84.75" customHeight="1">
      <c r="A31" s="640" t="s">
        <v>2218</v>
      </c>
      <c r="B31" s="640"/>
      <c r="C31" s="640"/>
      <c r="D31" s="640"/>
      <c r="E31" s="640"/>
      <c r="F31" s="640"/>
      <c r="G31" s="640"/>
      <c r="H31" s="640"/>
    </row>
    <row r="32" spans="1:8" ht="55.5" customHeight="1">
      <c r="A32" s="636" t="s">
        <v>2202</v>
      </c>
      <c r="B32" s="636"/>
      <c r="C32" s="636"/>
      <c r="D32" s="636"/>
      <c r="E32" s="636"/>
      <c r="F32" s="636"/>
      <c r="G32" s="636"/>
      <c r="H32" s="636"/>
    </row>
  </sheetData>
  <mergeCells count="41">
    <mergeCell ref="A6:H6"/>
    <mergeCell ref="A1:H1"/>
    <mergeCell ref="A2:H2"/>
    <mergeCell ref="A3:H3"/>
    <mergeCell ref="A4:H4"/>
    <mergeCell ref="A5:H5"/>
    <mergeCell ref="B19:D19"/>
    <mergeCell ref="A7:H7"/>
    <mergeCell ref="A8:H8"/>
    <mergeCell ref="A9:H9"/>
    <mergeCell ref="A10:H10"/>
    <mergeCell ref="A12:H12"/>
    <mergeCell ref="A13:H13"/>
    <mergeCell ref="B15:F15"/>
    <mergeCell ref="G15:H15"/>
    <mergeCell ref="B16:H16"/>
    <mergeCell ref="A17:G17"/>
    <mergeCell ref="A18:D18"/>
    <mergeCell ref="E26:H26"/>
    <mergeCell ref="A20:H20"/>
    <mergeCell ref="A21:B21"/>
    <mergeCell ref="C21:D21"/>
    <mergeCell ref="E21:G21"/>
    <mergeCell ref="A22:C22"/>
    <mergeCell ref="D22:E22"/>
    <mergeCell ref="A32:H32"/>
    <mergeCell ref="G22:H22"/>
    <mergeCell ref="B27:E27"/>
    <mergeCell ref="F27:H29"/>
    <mergeCell ref="B28:C28"/>
    <mergeCell ref="A29:E29"/>
    <mergeCell ref="A30:H30"/>
    <mergeCell ref="A31:H31"/>
    <mergeCell ref="A23:B23"/>
    <mergeCell ref="C23:D23"/>
    <mergeCell ref="E23:H23"/>
    <mergeCell ref="C24:D24"/>
    <mergeCell ref="E24:H24"/>
    <mergeCell ref="A25:D26"/>
    <mergeCell ref="E25:F25"/>
    <mergeCell ref="G25:H25"/>
  </mergeCells>
  <dataValidations count="1">
    <dataValidation allowBlank="1" showInputMessage="1" sqref="D22:E22" xr:uid="{CEE110DB-F94B-46B1-A86E-8F6C186A7DBD}"/>
  </dataValidations>
  <printOptions horizontalCentered="1" verticalCentered="1"/>
  <pageMargins left="0.7" right="0.7" top="0.75" bottom="0.75" header="0.3" footer="0.3"/>
  <pageSetup scale="47"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xr:uid="{17B9EA11-3A61-4F71-8B09-B1FE98E02A3D}">
          <x14:formula1>
            <xm:f>CATÁLOGO!$K$22:$K$28</xm:f>
          </x14:formula1>
          <xm:sqref>C21:D21</xm:sqref>
        </x14:dataValidation>
        <x14:dataValidation type="list" allowBlank="1" showInputMessage="1" showErrorMessage="1" xr:uid="{9DCDC0B0-3FFE-46CD-BDB8-8EB7EB22E4A1}">
          <x14:formula1>
            <xm:f>CATÁLOGO!$H$10:$H$18</xm:f>
          </x14:formula1>
          <xm:sqref>C23:D23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EFC4A-2B46-4B2E-9A3E-34DC38127A98}">
  <sheetPr codeName="Hoja20">
    <tabColor theme="5" tint="-0.249977111117893"/>
    <pageSetUpPr fitToPage="1"/>
  </sheetPr>
  <dimension ref="A1:H34"/>
  <sheetViews>
    <sheetView showZeros="0" zoomScale="70" zoomScaleNormal="70" workbookViewId="0">
      <selection activeCell="G20" sqref="G20"/>
    </sheetView>
  </sheetViews>
  <sheetFormatPr baseColWidth="10" defaultColWidth="11.42578125" defaultRowHeight="15"/>
  <cols>
    <col min="1" max="1" width="27.42578125" customWidth="1" collapsed="1"/>
    <col min="2" max="2" width="17.140625" customWidth="1" collapsed="1"/>
    <col min="3" max="3" width="12.28515625" customWidth="1"/>
    <col min="4" max="4" width="9.85546875" customWidth="1" collapsed="1"/>
    <col min="5" max="5" width="26.85546875" customWidth="1" collapsed="1"/>
    <col min="6" max="6" width="29.42578125" customWidth="1" collapsed="1"/>
    <col min="7" max="7" width="24.7109375" customWidth="1" collapsed="1"/>
    <col min="8" max="8" width="42.28515625" customWidth="1" collapsed="1"/>
  </cols>
  <sheetData>
    <row r="1" spans="1:8" ht="23.25">
      <c r="A1" s="647" t="str">
        <f>+FORMULARIO!A1</f>
        <v>PANAMA CAR RENTAL, S.A.</v>
      </c>
      <c r="B1" s="647"/>
      <c r="C1" s="647"/>
      <c r="D1" s="647"/>
      <c r="E1" s="647"/>
      <c r="F1" s="647"/>
      <c r="G1" s="647"/>
      <c r="H1" s="647"/>
    </row>
    <row r="2" spans="1:8" ht="17.25" customHeight="1">
      <c r="A2" s="648" t="s">
        <v>2279</v>
      </c>
      <c r="B2" s="648"/>
      <c r="C2" s="648"/>
      <c r="D2" s="648"/>
      <c r="E2" s="648"/>
      <c r="F2" s="648"/>
      <c r="G2" s="648"/>
      <c r="H2" s="648"/>
    </row>
    <row r="3" spans="1:8" ht="17.25" customHeight="1">
      <c r="A3" s="648" t="s">
        <v>2280</v>
      </c>
      <c r="B3" s="648"/>
      <c r="C3" s="648"/>
      <c r="D3" s="648"/>
      <c r="E3" s="648"/>
      <c r="F3" s="648"/>
      <c r="G3" s="648"/>
      <c r="H3" s="648"/>
    </row>
    <row r="4" spans="1:8" s="1" customFormat="1" ht="17.25" customHeight="1">
      <c r="A4" s="648" t="s">
        <v>1764</v>
      </c>
      <c r="B4" s="648"/>
      <c r="C4" s="648"/>
      <c r="D4" s="648"/>
      <c r="E4" s="648"/>
      <c r="F4" s="648"/>
      <c r="G4" s="648"/>
      <c r="H4" s="648"/>
    </row>
    <row r="5" spans="1:8" s="1" customFormat="1" ht="17.25" customHeight="1">
      <c r="A5" s="649"/>
      <c r="B5" s="649"/>
      <c r="C5" s="649"/>
      <c r="D5" s="649"/>
      <c r="E5" s="649"/>
      <c r="F5" s="649"/>
      <c r="G5" s="649"/>
      <c r="H5" s="649"/>
    </row>
    <row r="6" spans="1:8" ht="17.25" customHeight="1">
      <c r="A6" s="645" t="s">
        <v>2265</v>
      </c>
      <c r="B6" s="645"/>
      <c r="C6" s="645"/>
      <c r="D6" s="645"/>
      <c r="E6" s="645"/>
      <c r="F6" s="645"/>
      <c r="G6" s="645"/>
      <c r="H6" s="645"/>
    </row>
    <row r="7" spans="1:8" ht="17.25" customHeight="1">
      <c r="A7" s="644"/>
      <c r="B7" s="644"/>
      <c r="C7" s="644"/>
      <c r="D7" s="644"/>
      <c r="E7" s="644"/>
      <c r="F7" s="644"/>
      <c r="G7" s="644"/>
      <c r="H7" s="644"/>
    </row>
    <row r="8" spans="1:8" ht="18.600000000000001" customHeight="1">
      <c r="A8" s="645" t="s">
        <v>2266</v>
      </c>
      <c r="B8" s="645"/>
      <c r="C8" s="645"/>
      <c r="D8" s="645"/>
      <c r="E8" s="645"/>
      <c r="F8" s="645"/>
      <c r="G8" s="645"/>
      <c r="H8" s="645"/>
    </row>
    <row r="9" spans="1:8" ht="18.600000000000001" customHeight="1">
      <c r="A9" s="645" t="s">
        <v>1466</v>
      </c>
      <c r="B9" s="645"/>
      <c r="C9" s="645"/>
      <c r="D9" s="645"/>
      <c r="E9" s="645"/>
      <c r="F9" s="645"/>
      <c r="G9" s="645"/>
      <c r="H9" s="645"/>
    </row>
    <row r="10" spans="1:8" ht="18.600000000000001" customHeight="1">
      <c r="A10" s="645" t="s">
        <v>2278</v>
      </c>
      <c r="B10" s="645"/>
      <c r="C10" s="645"/>
      <c r="D10" s="645"/>
      <c r="E10" s="645"/>
      <c r="F10" s="645"/>
      <c r="G10" s="645"/>
      <c r="H10" s="645"/>
    </row>
    <row r="11" spans="1:8" ht="18.600000000000001" customHeight="1">
      <c r="A11" s="52"/>
      <c r="B11" s="52"/>
      <c r="C11" s="52"/>
      <c r="D11" s="52"/>
      <c r="E11" s="52"/>
      <c r="F11" s="52"/>
      <c r="G11" s="52"/>
      <c r="H11" s="52"/>
    </row>
    <row r="12" spans="1:8" ht="18.600000000000001" customHeight="1">
      <c r="A12" s="644"/>
      <c r="B12" s="644"/>
      <c r="C12" s="644"/>
      <c r="D12" s="644"/>
      <c r="E12" s="644"/>
      <c r="F12" s="644"/>
      <c r="G12" s="644"/>
      <c r="H12" s="644"/>
    </row>
    <row r="13" spans="1:8" ht="18.600000000000001" customHeight="1">
      <c r="A13" s="645" t="s">
        <v>2277</v>
      </c>
      <c r="B13" s="645"/>
      <c r="C13" s="645"/>
      <c r="D13" s="645"/>
      <c r="E13" s="645"/>
      <c r="F13" s="645"/>
      <c r="G13" s="645"/>
      <c r="H13" s="645"/>
    </row>
    <row r="14" spans="1:8" ht="18.600000000000001" customHeight="1">
      <c r="A14" s="52"/>
      <c r="B14" s="52"/>
      <c r="C14" s="52"/>
      <c r="D14" s="52"/>
      <c r="E14" s="52"/>
      <c r="F14" s="52"/>
      <c r="G14" s="52"/>
      <c r="H14" s="52"/>
    </row>
    <row r="15" spans="1:8" ht="23.25" customHeight="1">
      <c r="A15" s="279" t="s">
        <v>2336</v>
      </c>
      <c r="B15" s="646" t="str">
        <f>CONCATENATE('CTC Pers. Natural'!B10," ",'CTC Pers. Natural'!F10," ",'CTC Pers. Natural'!H10," ",'CTC Pers. Natural'!B11)</f>
        <v xml:space="preserve">   </v>
      </c>
      <c r="C15" s="646"/>
      <c r="D15" s="646"/>
      <c r="E15" s="646"/>
      <c r="F15" s="646"/>
      <c r="G15" s="651" t="s">
        <v>2337</v>
      </c>
      <c r="H15" s="651"/>
    </row>
    <row r="16" spans="1:8" ht="23.25" customHeight="1">
      <c r="A16" s="280">
        <f>+'CTC Pers. Natural'!B14</f>
        <v>0</v>
      </c>
      <c r="B16" s="651" t="s">
        <v>2338</v>
      </c>
      <c r="C16" s="651"/>
      <c r="D16" s="651"/>
      <c r="E16" s="651"/>
      <c r="F16" s="651"/>
      <c r="G16" s="651"/>
      <c r="H16" s="651"/>
    </row>
    <row r="17" spans="1:8" ht="23.25" customHeight="1">
      <c r="A17" s="645" t="s">
        <v>2378</v>
      </c>
      <c r="B17" s="645"/>
      <c r="C17" s="645"/>
      <c r="D17" s="645"/>
      <c r="E17" s="645"/>
      <c r="F17" s="645"/>
      <c r="G17" s="645"/>
      <c r="H17" s="645"/>
    </row>
    <row r="18" spans="1:8" ht="23.25" customHeight="1">
      <c r="A18" s="279" t="s">
        <v>2348</v>
      </c>
      <c r="B18" s="646">
        <f>+'PORTADA FILE VENTAS'!C6</f>
        <v>0</v>
      </c>
      <c r="C18" s="646"/>
      <c r="D18" s="646"/>
      <c r="E18" s="279" t="s">
        <v>2349</v>
      </c>
      <c r="F18" s="280">
        <f>+'PORTADA FILE VENTAS'!C7</f>
        <v>0</v>
      </c>
      <c r="G18" s="272" t="s">
        <v>2350</v>
      </c>
      <c r="H18" s="280">
        <f>+'PORTADA FILE VENTAS'!C8</f>
        <v>0</v>
      </c>
    </row>
    <row r="19" spans="1:8" ht="24" customHeight="1">
      <c r="A19" s="52" t="s">
        <v>2351</v>
      </c>
      <c r="B19" s="643">
        <f>+'PORTADA FILE VENTAS'!C9</f>
        <v>0</v>
      </c>
      <c r="C19" s="643"/>
      <c r="D19" s="643"/>
      <c r="E19" s="644" t="s">
        <v>2352</v>
      </c>
      <c r="F19" s="644"/>
      <c r="G19" s="644"/>
      <c r="H19" s="644"/>
    </row>
    <row r="20" spans="1:8" ht="23.25" customHeight="1">
      <c r="A20" s="638"/>
      <c r="B20" s="638"/>
      <c r="C20" s="638"/>
      <c r="D20" s="637" t="s">
        <v>2353</v>
      </c>
      <c r="E20" s="637"/>
      <c r="F20" s="637"/>
      <c r="G20" s="283"/>
      <c r="H20" s="282"/>
    </row>
    <row r="21" spans="1:8" ht="23.25" customHeight="1">
      <c r="A21" s="650"/>
      <c r="B21" s="650"/>
      <c r="C21" s="637" t="s">
        <v>2354</v>
      </c>
      <c r="D21" s="637"/>
      <c r="E21" s="637"/>
      <c r="F21" s="282"/>
      <c r="G21" s="282"/>
      <c r="H21" s="264"/>
    </row>
    <row r="22" spans="1:8" ht="23.25" customHeight="1">
      <c r="A22" s="271"/>
      <c r="B22" s="271"/>
      <c r="C22" s="270"/>
      <c r="D22" s="270"/>
      <c r="E22" s="270"/>
      <c r="F22" s="270"/>
      <c r="G22" s="270"/>
      <c r="H22" s="270"/>
    </row>
    <row r="23" spans="1:8" ht="23.25" customHeight="1">
      <c r="A23" s="271" t="s">
        <v>2132</v>
      </c>
      <c r="B23" s="264" t="s">
        <v>2358</v>
      </c>
      <c r="C23" s="264"/>
      <c r="D23" s="264" t="s">
        <v>2356</v>
      </c>
      <c r="E23" s="264" t="s">
        <v>2134</v>
      </c>
      <c r="F23" s="264" t="s">
        <v>2357</v>
      </c>
      <c r="G23" s="264" t="s">
        <v>2359</v>
      </c>
      <c r="H23" s="264"/>
    </row>
    <row r="24" spans="1:8" ht="23.25" customHeight="1">
      <c r="A24" s="264"/>
      <c r="B24" s="637" t="s">
        <v>2360</v>
      </c>
      <c r="C24" s="637"/>
      <c r="D24" s="264" t="s">
        <v>2357</v>
      </c>
      <c r="E24" s="264" t="s">
        <v>2138</v>
      </c>
      <c r="F24" s="264"/>
      <c r="G24" s="264"/>
      <c r="H24" s="264"/>
    </row>
    <row r="25" spans="1:8" ht="23.25" customHeight="1">
      <c r="A25" s="264"/>
      <c r="B25" s="270"/>
      <c r="C25" s="270"/>
      <c r="D25" s="264"/>
      <c r="E25" s="264"/>
      <c r="F25" s="264"/>
      <c r="G25" s="264"/>
      <c r="H25" s="264"/>
    </row>
    <row r="26" spans="1:8" ht="29.25" customHeight="1">
      <c r="A26" s="271" t="s">
        <v>23</v>
      </c>
      <c r="B26" s="271"/>
      <c r="C26" s="637"/>
      <c r="D26" s="637"/>
      <c r="E26" s="637"/>
      <c r="F26" s="637"/>
      <c r="G26" s="637"/>
      <c r="H26" s="637"/>
    </row>
    <row r="27" spans="1:8" ht="69.75" customHeight="1">
      <c r="A27" s="637"/>
      <c r="B27" s="637"/>
      <c r="C27" s="637"/>
      <c r="D27" s="637"/>
      <c r="E27" s="642" t="s">
        <v>2276</v>
      </c>
      <c r="F27" s="642"/>
      <c r="G27" s="637"/>
      <c r="H27" s="637"/>
    </row>
    <row r="28" spans="1:8" ht="15" customHeight="1">
      <c r="A28" s="637"/>
      <c r="B28" s="637"/>
      <c r="C28" s="637"/>
      <c r="D28" s="637"/>
      <c r="E28" s="637"/>
      <c r="F28" s="637"/>
      <c r="G28" s="637"/>
      <c r="H28" s="637"/>
    </row>
    <row r="29" spans="1:8" ht="19.5" customHeight="1">
      <c r="A29" s="271" t="s">
        <v>2274</v>
      </c>
      <c r="B29" s="638"/>
      <c r="C29" s="638"/>
      <c r="D29" s="638"/>
      <c r="E29" s="638"/>
      <c r="F29" s="637"/>
      <c r="G29" s="637"/>
      <c r="H29" s="637"/>
    </row>
    <row r="30" spans="1:8" ht="19.5" customHeight="1">
      <c r="A30" s="271" t="s">
        <v>2275</v>
      </c>
      <c r="B30" s="638"/>
      <c r="C30" s="638"/>
      <c r="D30" s="264"/>
      <c r="E30" s="264"/>
      <c r="F30" s="637"/>
      <c r="G30" s="637"/>
      <c r="H30" s="637"/>
    </row>
    <row r="31" spans="1:8" ht="19.5" customHeight="1">
      <c r="A31" s="637"/>
      <c r="B31" s="637"/>
      <c r="C31" s="637"/>
      <c r="D31" s="637"/>
      <c r="E31" s="637"/>
      <c r="F31" s="637"/>
      <c r="G31" s="637"/>
      <c r="H31" s="637"/>
    </row>
    <row r="32" spans="1:8" ht="21">
      <c r="A32" s="639" t="s">
        <v>2217</v>
      </c>
      <c r="B32" s="639"/>
      <c r="C32" s="639"/>
      <c r="D32" s="639"/>
      <c r="E32" s="639"/>
      <c r="F32" s="639"/>
      <c r="G32" s="639"/>
      <c r="H32" s="639"/>
    </row>
    <row r="33" spans="1:8" ht="84.75" customHeight="1">
      <c r="A33" s="640" t="s">
        <v>2218</v>
      </c>
      <c r="B33" s="640"/>
      <c r="C33" s="640"/>
      <c r="D33" s="640"/>
      <c r="E33" s="640"/>
      <c r="F33" s="640"/>
      <c r="G33" s="640"/>
      <c r="H33" s="640"/>
    </row>
    <row r="34" spans="1:8" ht="55.5" customHeight="1">
      <c r="A34" s="636" t="s">
        <v>2202</v>
      </c>
      <c r="B34" s="636"/>
      <c r="C34" s="636"/>
      <c r="D34" s="636"/>
      <c r="E34" s="636"/>
      <c r="F34" s="636"/>
      <c r="G34" s="636"/>
      <c r="H34" s="636"/>
    </row>
  </sheetData>
  <mergeCells count="37">
    <mergeCell ref="A6:H6"/>
    <mergeCell ref="A1:H1"/>
    <mergeCell ref="A2:H2"/>
    <mergeCell ref="A3:H3"/>
    <mergeCell ref="A4:H4"/>
    <mergeCell ref="A5:H5"/>
    <mergeCell ref="B15:F15"/>
    <mergeCell ref="G15:H15"/>
    <mergeCell ref="B16:H16"/>
    <mergeCell ref="B19:D19"/>
    <mergeCell ref="A7:H7"/>
    <mergeCell ref="A8:H8"/>
    <mergeCell ref="A9:H9"/>
    <mergeCell ref="A10:H10"/>
    <mergeCell ref="A12:H12"/>
    <mergeCell ref="A13:H13"/>
    <mergeCell ref="A27:D28"/>
    <mergeCell ref="E27:F27"/>
    <mergeCell ref="G27:H27"/>
    <mergeCell ref="E28:H28"/>
    <mergeCell ref="A20:C20"/>
    <mergeCell ref="A34:H34"/>
    <mergeCell ref="A17:H17"/>
    <mergeCell ref="D20:F20"/>
    <mergeCell ref="C21:E21"/>
    <mergeCell ref="B24:C24"/>
    <mergeCell ref="B18:D18"/>
    <mergeCell ref="E19:H19"/>
    <mergeCell ref="B29:E29"/>
    <mergeCell ref="F29:H31"/>
    <mergeCell ref="B30:C30"/>
    <mergeCell ref="A31:E31"/>
    <mergeCell ref="A32:H32"/>
    <mergeCell ref="A33:H33"/>
    <mergeCell ref="A21:B21"/>
    <mergeCell ref="C26:D26"/>
    <mergeCell ref="E26:H26"/>
  </mergeCells>
  <dataValidations count="1">
    <dataValidation allowBlank="1" showInputMessage="1" sqref="D20" xr:uid="{CC6C5EC5-8783-4C11-8885-C54B97657F82}"/>
  </dataValidations>
  <printOptions horizontalCentered="1" verticalCentered="1"/>
  <pageMargins left="0.7" right="0.7" top="0.75" bottom="0.75" header="0.3" footer="0.3"/>
  <pageSetup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4" r:id="rId4" name="Check Box 4">
              <controlPr defaultSize="0" autoFill="0" autoLine="0" autoPict="0">
                <anchor moveWithCells="1">
                  <from>
                    <xdr:col>1</xdr:col>
                    <xdr:colOff>161925</xdr:colOff>
                    <xdr:row>22</xdr:row>
                    <xdr:rowOff>38100</xdr:rowOff>
                  </from>
                  <to>
                    <xdr:col>1</xdr:col>
                    <xdr:colOff>581025</xdr:colOff>
                    <xdr:row>22</xdr:row>
                    <xdr:rowOff>257175</xdr:rowOff>
                  </to>
                </anchor>
              </controlPr>
            </control>
          </mc:Choice>
        </mc:AlternateContent>
        <mc:AlternateContent xmlns:mc="http://schemas.openxmlformats.org/markup-compatibility/2006">
          <mc:Choice Requires="x14">
            <control shapeId="40968" r:id="rId5" name="Check Box 8">
              <controlPr defaultSize="0" autoFill="0" autoLine="0" autoPict="0">
                <anchor moveWithCells="1">
                  <from>
                    <xdr:col>3</xdr:col>
                    <xdr:colOff>161925</xdr:colOff>
                    <xdr:row>22</xdr:row>
                    <xdr:rowOff>38100</xdr:rowOff>
                  </from>
                  <to>
                    <xdr:col>3</xdr:col>
                    <xdr:colOff>581025</xdr:colOff>
                    <xdr:row>22</xdr:row>
                    <xdr:rowOff>257175</xdr:rowOff>
                  </to>
                </anchor>
              </controlPr>
            </control>
          </mc:Choice>
        </mc:AlternateContent>
        <mc:AlternateContent xmlns:mc="http://schemas.openxmlformats.org/markup-compatibility/2006">
          <mc:Choice Requires="x14">
            <control shapeId="40969" r:id="rId6" name="Check Box 9">
              <controlPr defaultSize="0" autoFill="0" autoLine="0" autoPict="0">
                <anchor moveWithCells="1">
                  <from>
                    <xdr:col>5</xdr:col>
                    <xdr:colOff>161925</xdr:colOff>
                    <xdr:row>22</xdr:row>
                    <xdr:rowOff>38100</xdr:rowOff>
                  </from>
                  <to>
                    <xdr:col>5</xdr:col>
                    <xdr:colOff>581025</xdr:colOff>
                    <xdr:row>22</xdr:row>
                    <xdr:rowOff>257175</xdr:rowOff>
                  </to>
                </anchor>
              </controlPr>
            </control>
          </mc:Choice>
        </mc:AlternateContent>
        <mc:AlternateContent xmlns:mc="http://schemas.openxmlformats.org/markup-compatibility/2006">
          <mc:Choice Requires="x14">
            <control shapeId="40970" r:id="rId7" name="Check Box 10">
              <controlPr defaultSize="0" autoFill="0" autoLine="0" autoPict="0">
                <anchor moveWithCells="1">
                  <from>
                    <xdr:col>6</xdr:col>
                    <xdr:colOff>161925</xdr:colOff>
                    <xdr:row>22</xdr:row>
                    <xdr:rowOff>38100</xdr:rowOff>
                  </from>
                  <to>
                    <xdr:col>6</xdr:col>
                    <xdr:colOff>581025</xdr:colOff>
                    <xdr:row>22</xdr:row>
                    <xdr:rowOff>257175</xdr:rowOff>
                  </to>
                </anchor>
              </controlPr>
            </control>
          </mc:Choice>
        </mc:AlternateContent>
        <mc:AlternateContent xmlns:mc="http://schemas.openxmlformats.org/markup-compatibility/2006">
          <mc:Choice Requires="x14">
            <control shapeId="40971" r:id="rId8" name="Check Box 11">
              <controlPr defaultSize="0" autoFill="0" autoLine="0" autoPict="0">
                <anchor moveWithCells="1">
                  <from>
                    <xdr:col>1</xdr:col>
                    <xdr:colOff>161925</xdr:colOff>
                    <xdr:row>23</xdr:row>
                    <xdr:rowOff>38100</xdr:rowOff>
                  </from>
                  <to>
                    <xdr:col>1</xdr:col>
                    <xdr:colOff>581025</xdr:colOff>
                    <xdr:row>23</xdr:row>
                    <xdr:rowOff>257175</xdr:rowOff>
                  </to>
                </anchor>
              </controlPr>
            </control>
          </mc:Choice>
        </mc:AlternateContent>
        <mc:AlternateContent xmlns:mc="http://schemas.openxmlformats.org/markup-compatibility/2006">
          <mc:Choice Requires="x14">
            <control shapeId="40972" r:id="rId9" name="Check Box 12">
              <controlPr defaultSize="0" autoFill="0" autoLine="0" autoPict="0">
                <anchor moveWithCells="1">
                  <from>
                    <xdr:col>3</xdr:col>
                    <xdr:colOff>161925</xdr:colOff>
                    <xdr:row>23</xdr:row>
                    <xdr:rowOff>38100</xdr:rowOff>
                  </from>
                  <to>
                    <xdr:col>3</xdr:col>
                    <xdr:colOff>581025</xdr:colOff>
                    <xdr:row>23</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134B2AC-063C-43B0-B057-2D7C45B5D142}">
          <x14:formula1>
            <xm:f>CATÁLOGO!$H$10:$H$18</xm:f>
          </x14:formula1>
          <xm:sqref>C22:D22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539A2-6665-4115-83D7-DC967A0B00B3}">
  <sheetPr codeName="Hoja21">
    <tabColor theme="5" tint="-0.249977111117893"/>
    <pageSetUpPr fitToPage="1"/>
  </sheetPr>
  <dimension ref="A1:H38"/>
  <sheetViews>
    <sheetView showZeros="0" zoomScale="70" zoomScaleNormal="70" workbookViewId="0">
      <selection activeCell="E23" sqref="E23:H23"/>
    </sheetView>
  </sheetViews>
  <sheetFormatPr baseColWidth="10" defaultColWidth="11.42578125" defaultRowHeight="15"/>
  <cols>
    <col min="1" max="1" width="32.140625" customWidth="1" collapsed="1"/>
    <col min="2" max="2" width="17.140625" customWidth="1" collapsed="1"/>
    <col min="3" max="3" width="12.28515625" customWidth="1"/>
    <col min="4" max="4" width="9.85546875" customWidth="1" collapsed="1"/>
    <col min="5" max="5" width="30.5703125" customWidth="1" collapsed="1"/>
    <col min="6" max="6" width="29.42578125" customWidth="1" collapsed="1"/>
    <col min="7" max="7" width="24.7109375" customWidth="1" collapsed="1"/>
    <col min="8" max="8" width="28.85546875" customWidth="1" collapsed="1"/>
  </cols>
  <sheetData>
    <row r="1" spans="1:8" ht="23.25">
      <c r="A1" s="647" t="str">
        <f>+FORMULARIO!A1</f>
        <v>PANAMA CAR RENTAL, S.A.</v>
      </c>
      <c r="B1" s="647"/>
      <c r="C1" s="647"/>
      <c r="D1" s="647"/>
      <c r="E1" s="647"/>
      <c r="F1" s="647"/>
      <c r="G1" s="647"/>
      <c r="H1" s="647"/>
    </row>
    <row r="2" spans="1:8" ht="17.25" customHeight="1">
      <c r="A2" s="648" t="s">
        <v>2282</v>
      </c>
      <c r="B2" s="648"/>
      <c r="C2" s="648"/>
      <c r="D2" s="648"/>
      <c r="E2" s="648"/>
      <c r="F2" s="648"/>
      <c r="G2" s="648"/>
      <c r="H2" s="648"/>
    </row>
    <row r="3" spans="1:8" ht="17.25" customHeight="1">
      <c r="A3" s="648" t="s">
        <v>2283</v>
      </c>
      <c r="B3" s="648"/>
      <c r="C3" s="648"/>
      <c r="D3" s="648"/>
      <c r="E3" s="648"/>
      <c r="F3" s="648"/>
      <c r="G3" s="648"/>
      <c r="H3" s="648"/>
    </row>
    <row r="4" spans="1:8" ht="17.25" customHeight="1">
      <c r="A4" s="648" t="s">
        <v>2284</v>
      </c>
      <c r="B4" s="648"/>
      <c r="C4" s="648"/>
      <c r="D4" s="648"/>
      <c r="E4" s="648"/>
      <c r="F4" s="648"/>
      <c r="G4" s="648"/>
      <c r="H4" s="648"/>
    </row>
    <row r="5" spans="1:8" ht="17.25" customHeight="1">
      <c r="A5" s="648" t="s">
        <v>2285</v>
      </c>
      <c r="B5" s="648"/>
      <c r="C5" s="648"/>
      <c r="D5" s="648"/>
      <c r="E5" s="648"/>
      <c r="F5" s="648"/>
      <c r="G5" s="648"/>
      <c r="H5" s="648"/>
    </row>
    <row r="6" spans="1:8" s="1" customFormat="1" ht="17.25" customHeight="1">
      <c r="A6" s="648" t="s">
        <v>1764</v>
      </c>
      <c r="B6" s="648"/>
      <c r="C6" s="648"/>
      <c r="D6" s="648"/>
      <c r="E6" s="648"/>
      <c r="F6" s="648"/>
      <c r="G6" s="648"/>
      <c r="H6" s="648"/>
    </row>
    <row r="7" spans="1:8" s="1" customFormat="1" ht="17.25" customHeight="1">
      <c r="A7" s="649"/>
      <c r="B7" s="649"/>
      <c r="C7" s="649"/>
      <c r="D7" s="649"/>
      <c r="E7" s="649"/>
      <c r="F7" s="649"/>
      <c r="G7" s="649"/>
      <c r="H7" s="649"/>
    </row>
    <row r="8" spans="1:8" ht="17.25" customHeight="1">
      <c r="A8" s="645" t="s">
        <v>2265</v>
      </c>
      <c r="B8" s="645"/>
      <c r="C8" s="645"/>
      <c r="D8" s="645"/>
      <c r="E8" s="645"/>
      <c r="F8" s="645"/>
      <c r="G8" s="645"/>
      <c r="H8" s="645"/>
    </row>
    <row r="9" spans="1:8" ht="17.25" customHeight="1">
      <c r="A9" s="644"/>
      <c r="B9" s="644"/>
      <c r="C9" s="644"/>
      <c r="D9" s="644"/>
      <c r="E9" s="644"/>
      <c r="F9" s="644"/>
      <c r="G9" s="644"/>
      <c r="H9" s="644"/>
    </row>
    <row r="10" spans="1:8" ht="18.600000000000001" customHeight="1">
      <c r="A10" s="645" t="s">
        <v>2266</v>
      </c>
      <c r="B10" s="645"/>
      <c r="C10" s="645"/>
      <c r="D10" s="645"/>
      <c r="E10" s="645"/>
      <c r="F10" s="645"/>
      <c r="G10" s="645"/>
      <c r="H10" s="645"/>
    </row>
    <row r="11" spans="1:8" ht="18.600000000000001" customHeight="1">
      <c r="A11" s="645" t="s">
        <v>1466</v>
      </c>
      <c r="B11" s="645"/>
      <c r="C11" s="645"/>
      <c r="D11" s="645"/>
      <c r="E11" s="645"/>
      <c r="F11" s="645"/>
      <c r="G11" s="645"/>
      <c r="H11" s="645"/>
    </row>
    <row r="12" spans="1:8" ht="18.600000000000001" customHeight="1">
      <c r="A12" s="645" t="s">
        <v>2278</v>
      </c>
      <c r="B12" s="645"/>
      <c r="C12" s="645"/>
      <c r="D12" s="645"/>
      <c r="E12" s="645"/>
      <c r="F12" s="645"/>
      <c r="G12" s="645"/>
      <c r="H12" s="645"/>
    </row>
    <row r="13" spans="1:8" ht="18.600000000000001" customHeight="1">
      <c r="A13" s="52"/>
      <c r="B13" s="52"/>
      <c r="C13" s="52"/>
      <c r="D13" s="52"/>
      <c r="E13" s="52"/>
      <c r="F13" s="52"/>
      <c r="G13" s="52"/>
      <c r="H13" s="52"/>
    </row>
    <row r="14" spans="1:8" ht="18.600000000000001" customHeight="1">
      <c r="A14" s="644"/>
      <c r="B14" s="644"/>
      <c r="C14" s="644"/>
      <c r="D14" s="644"/>
      <c r="E14" s="644"/>
      <c r="F14" s="644"/>
      <c r="G14" s="644"/>
      <c r="H14" s="644"/>
    </row>
    <row r="15" spans="1:8" ht="18.600000000000001" customHeight="1">
      <c r="A15" s="645" t="s">
        <v>2277</v>
      </c>
      <c r="B15" s="645"/>
      <c r="C15" s="645"/>
      <c r="D15" s="645"/>
      <c r="E15" s="645"/>
      <c r="F15" s="645"/>
      <c r="G15" s="645"/>
      <c r="H15" s="645"/>
    </row>
    <row r="16" spans="1:8" ht="18.600000000000001" customHeight="1">
      <c r="A16" s="52"/>
      <c r="B16" s="52"/>
      <c r="C16" s="52"/>
      <c r="D16" s="52"/>
      <c r="E16" s="52"/>
      <c r="F16" s="52"/>
      <c r="G16" s="52"/>
      <c r="H16" s="52"/>
    </row>
    <row r="17" spans="1:8" ht="23.25" customHeight="1">
      <c r="A17" s="279" t="s">
        <v>2336</v>
      </c>
      <c r="B17" s="646" t="str">
        <f>CONCATENATE('CTC Pers. Natural'!B10," ",'CTC Pers. Natural'!F10," ",'CTC Pers. Natural'!H10," ",'CTC Pers. Natural'!B11)</f>
        <v xml:space="preserve">   </v>
      </c>
      <c r="C17" s="646"/>
      <c r="D17" s="646"/>
      <c r="E17" s="646"/>
      <c r="F17" s="646"/>
      <c r="G17" s="644" t="s">
        <v>2337</v>
      </c>
      <c r="H17" s="644"/>
    </row>
    <row r="18" spans="1:8" ht="23.25" customHeight="1">
      <c r="A18" s="280">
        <f>+'CTC Pers. Natural'!B14</f>
        <v>0</v>
      </c>
      <c r="B18" s="644" t="s">
        <v>2338</v>
      </c>
      <c r="C18" s="644"/>
      <c r="D18" s="644"/>
      <c r="E18" s="644"/>
      <c r="F18" s="644"/>
      <c r="G18" s="644"/>
      <c r="H18" s="644"/>
    </row>
    <row r="19" spans="1:8" ht="23.25" customHeight="1">
      <c r="A19" s="645" t="s">
        <v>2367</v>
      </c>
      <c r="B19" s="645"/>
      <c r="C19" s="645"/>
      <c r="D19" s="645"/>
      <c r="E19" s="645"/>
      <c r="F19" s="645"/>
      <c r="G19" s="645"/>
      <c r="H19" s="280"/>
    </row>
    <row r="20" spans="1:8" ht="23.25" customHeight="1">
      <c r="A20" s="646"/>
      <c r="B20" s="646"/>
      <c r="C20" s="646"/>
      <c r="D20" s="644"/>
      <c r="E20" s="279" t="s">
        <v>2361</v>
      </c>
      <c r="F20" s="280"/>
      <c r="G20" s="644" t="s">
        <v>2362</v>
      </c>
      <c r="H20" s="644"/>
    </row>
    <row r="21" spans="1:8" ht="24" customHeight="1">
      <c r="A21" s="281"/>
      <c r="B21" s="644" t="s">
        <v>2363</v>
      </c>
      <c r="C21" s="644"/>
      <c r="D21" s="644"/>
      <c r="E21" s="644"/>
      <c r="F21" s="646"/>
      <c r="G21" s="646"/>
      <c r="H21" s="272" t="s">
        <v>2364</v>
      </c>
    </row>
    <row r="22" spans="1:8" ht="23.25" customHeight="1">
      <c r="A22" s="641" t="s">
        <v>2365</v>
      </c>
      <c r="B22" s="641"/>
      <c r="C22" s="641"/>
      <c r="D22" s="641"/>
      <c r="E22" s="282">
        <f>+'PORTADA FILE VENTAS'!C6</f>
        <v>0</v>
      </c>
      <c r="F22" s="270" t="s">
        <v>2349</v>
      </c>
      <c r="G22" s="286"/>
      <c r="H22" s="270" t="s">
        <v>2366</v>
      </c>
    </row>
    <row r="23" spans="1:8" ht="23.25" customHeight="1">
      <c r="A23" s="282"/>
      <c r="B23" s="264" t="s">
        <v>2368</v>
      </c>
      <c r="C23" s="638"/>
      <c r="D23" s="638"/>
      <c r="E23" s="637"/>
      <c r="F23" s="637"/>
      <c r="G23" s="637"/>
      <c r="H23" s="637"/>
    </row>
    <row r="24" spans="1:8" ht="23.25" customHeight="1">
      <c r="A24" s="271"/>
      <c r="B24" s="271"/>
      <c r="C24" s="270"/>
      <c r="D24" s="270"/>
      <c r="E24" s="270"/>
      <c r="F24" s="270"/>
      <c r="G24" s="270"/>
      <c r="H24" s="270"/>
    </row>
    <row r="25" spans="1:8" ht="23.25" customHeight="1">
      <c r="A25" s="641" t="s">
        <v>2281</v>
      </c>
      <c r="B25" s="641"/>
      <c r="C25" s="652"/>
      <c r="D25" s="652"/>
      <c r="E25" s="264"/>
      <c r="F25" s="264"/>
      <c r="G25" s="264"/>
      <c r="H25" s="264"/>
    </row>
    <row r="26" spans="1:8" ht="23.25" customHeight="1">
      <c r="A26" s="271"/>
      <c r="B26" s="271"/>
      <c r="C26" s="287"/>
      <c r="D26" s="270"/>
      <c r="E26" s="270"/>
      <c r="F26" s="270"/>
      <c r="G26" s="270"/>
      <c r="H26" s="270"/>
    </row>
    <row r="27" spans="1:8" ht="23.25" customHeight="1">
      <c r="A27" s="271" t="s">
        <v>2132</v>
      </c>
      <c r="B27" s="264" t="s">
        <v>2358</v>
      </c>
      <c r="C27" s="264"/>
      <c r="D27" s="264" t="s">
        <v>2356</v>
      </c>
      <c r="E27" s="264" t="s">
        <v>2134</v>
      </c>
      <c r="F27" s="264" t="s">
        <v>2357</v>
      </c>
      <c r="G27" s="264" t="s">
        <v>2359</v>
      </c>
      <c r="H27" s="264"/>
    </row>
    <row r="28" spans="1:8" ht="23.25" customHeight="1">
      <c r="A28" s="264"/>
      <c r="B28" s="637" t="s">
        <v>2360</v>
      </c>
      <c r="C28" s="637"/>
      <c r="D28" s="264" t="s">
        <v>2357</v>
      </c>
      <c r="E28" s="264" t="s">
        <v>2138</v>
      </c>
      <c r="F28" s="264"/>
      <c r="G28" s="264"/>
      <c r="H28" s="264"/>
    </row>
    <row r="29" spans="1:8" ht="23.25" customHeight="1">
      <c r="A29" s="264"/>
      <c r="B29" s="270"/>
      <c r="C29" s="270"/>
      <c r="D29" s="264"/>
      <c r="E29" s="264"/>
      <c r="F29" s="264"/>
      <c r="G29" s="264"/>
      <c r="H29" s="264"/>
    </row>
    <row r="30" spans="1:8" ht="29.25" customHeight="1">
      <c r="A30" s="271" t="s">
        <v>23</v>
      </c>
      <c r="B30" s="271"/>
      <c r="C30" s="637"/>
      <c r="D30" s="637"/>
      <c r="E30" s="637"/>
      <c r="F30" s="637"/>
      <c r="G30" s="637"/>
      <c r="H30" s="637"/>
    </row>
    <row r="31" spans="1:8" ht="69.75" customHeight="1">
      <c r="A31" s="637"/>
      <c r="B31" s="637"/>
      <c r="C31" s="637"/>
      <c r="D31" s="637"/>
      <c r="E31" s="642" t="s">
        <v>2276</v>
      </c>
      <c r="F31" s="642"/>
      <c r="G31" s="637"/>
      <c r="H31" s="637"/>
    </row>
    <row r="32" spans="1:8" ht="15" customHeight="1">
      <c r="A32" s="637"/>
      <c r="B32" s="637"/>
      <c r="C32" s="637"/>
      <c r="D32" s="637"/>
      <c r="E32" s="637"/>
      <c r="F32" s="637"/>
      <c r="G32" s="637"/>
      <c r="H32" s="637"/>
    </row>
    <row r="33" spans="1:8" ht="19.5" customHeight="1">
      <c r="A33" s="271" t="s">
        <v>2274</v>
      </c>
      <c r="B33" s="638"/>
      <c r="C33" s="638"/>
      <c r="D33" s="638"/>
      <c r="E33" s="638"/>
      <c r="F33" s="637"/>
      <c r="G33" s="637"/>
      <c r="H33" s="637"/>
    </row>
    <row r="34" spans="1:8" ht="19.5" customHeight="1">
      <c r="A34" s="271" t="s">
        <v>2275</v>
      </c>
      <c r="B34" s="638"/>
      <c r="C34" s="638"/>
      <c r="D34" s="264"/>
      <c r="E34" s="264"/>
      <c r="F34" s="637"/>
      <c r="G34" s="637"/>
      <c r="H34" s="637"/>
    </row>
    <row r="35" spans="1:8" ht="19.5" customHeight="1">
      <c r="A35" s="637"/>
      <c r="B35" s="637"/>
      <c r="C35" s="637"/>
      <c r="D35" s="637"/>
      <c r="E35" s="637"/>
      <c r="F35" s="637"/>
      <c r="G35" s="637"/>
      <c r="H35" s="637"/>
    </row>
    <row r="36" spans="1:8" ht="21">
      <c r="A36" s="639" t="s">
        <v>2217</v>
      </c>
      <c r="B36" s="639"/>
      <c r="C36" s="639"/>
      <c r="D36" s="639"/>
      <c r="E36" s="639"/>
      <c r="F36" s="639"/>
      <c r="G36" s="639"/>
      <c r="H36" s="639"/>
    </row>
    <row r="37" spans="1:8" ht="84.75" customHeight="1">
      <c r="A37" s="640" t="s">
        <v>2218</v>
      </c>
      <c r="B37" s="640"/>
      <c r="C37" s="640"/>
      <c r="D37" s="640"/>
      <c r="E37" s="640"/>
      <c r="F37" s="640"/>
      <c r="G37" s="640"/>
      <c r="H37" s="640"/>
    </row>
    <row r="38" spans="1:8" ht="55.5" customHeight="1">
      <c r="A38" s="636" t="s">
        <v>2202</v>
      </c>
      <c r="B38" s="636"/>
      <c r="C38" s="636"/>
      <c r="D38" s="636"/>
      <c r="E38" s="636"/>
      <c r="F38" s="636"/>
      <c r="G38" s="636"/>
      <c r="H38" s="636"/>
    </row>
  </sheetData>
  <mergeCells count="41">
    <mergeCell ref="A8:H8"/>
    <mergeCell ref="A1:H1"/>
    <mergeCell ref="A2:H2"/>
    <mergeCell ref="A5:H5"/>
    <mergeCell ref="A6:H6"/>
    <mergeCell ref="A7:H7"/>
    <mergeCell ref="A25:B25"/>
    <mergeCell ref="B17:F17"/>
    <mergeCell ref="G17:H17"/>
    <mergeCell ref="B18:H18"/>
    <mergeCell ref="A9:H9"/>
    <mergeCell ref="A10:H10"/>
    <mergeCell ref="A11:H11"/>
    <mergeCell ref="A12:H12"/>
    <mergeCell ref="A14:H14"/>
    <mergeCell ref="A15:H15"/>
    <mergeCell ref="C25:D25"/>
    <mergeCell ref="B21:E21"/>
    <mergeCell ref="C23:D23"/>
    <mergeCell ref="C30:D30"/>
    <mergeCell ref="E30:H30"/>
    <mergeCell ref="A31:D32"/>
    <mergeCell ref="E31:F31"/>
    <mergeCell ref="G31:H31"/>
    <mergeCell ref="E32:H32"/>
    <mergeCell ref="A38:H38"/>
    <mergeCell ref="A3:H3"/>
    <mergeCell ref="A4:H4"/>
    <mergeCell ref="A20:D20"/>
    <mergeCell ref="G20:H20"/>
    <mergeCell ref="F21:G21"/>
    <mergeCell ref="A22:D22"/>
    <mergeCell ref="A19:G19"/>
    <mergeCell ref="E23:H23"/>
    <mergeCell ref="B33:E33"/>
    <mergeCell ref="F33:H35"/>
    <mergeCell ref="B34:C34"/>
    <mergeCell ref="A35:E35"/>
    <mergeCell ref="A36:H36"/>
    <mergeCell ref="A37:H37"/>
    <mergeCell ref="B28:C28"/>
  </mergeCells>
  <printOptions horizontalCentered="1" verticalCentered="1"/>
  <pageMargins left="0.7" right="0.7" top="0.75" bottom="0.75" header="0.3" footer="0.3"/>
  <pageSetup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Check Box 1">
              <controlPr defaultSize="0" autoFill="0" autoLine="0" autoPict="0">
                <anchor moveWithCells="1">
                  <from>
                    <xdr:col>1</xdr:col>
                    <xdr:colOff>161925</xdr:colOff>
                    <xdr:row>26</xdr:row>
                    <xdr:rowOff>38100</xdr:rowOff>
                  </from>
                  <to>
                    <xdr:col>1</xdr:col>
                    <xdr:colOff>581025</xdr:colOff>
                    <xdr:row>26</xdr:row>
                    <xdr:rowOff>257175</xdr:rowOff>
                  </to>
                </anchor>
              </controlPr>
            </control>
          </mc:Choice>
        </mc:AlternateContent>
        <mc:AlternateContent xmlns:mc="http://schemas.openxmlformats.org/markup-compatibility/2006">
          <mc:Choice Requires="x14">
            <control shapeId="41986" r:id="rId5" name="Check Box 2">
              <controlPr defaultSize="0" autoFill="0" autoLine="0" autoPict="0">
                <anchor moveWithCells="1">
                  <from>
                    <xdr:col>3</xdr:col>
                    <xdr:colOff>161925</xdr:colOff>
                    <xdr:row>26</xdr:row>
                    <xdr:rowOff>38100</xdr:rowOff>
                  </from>
                  <to>
                    <xdr:col>3</xdr:col>
                    <xdr:colOff>581025</xdr:colOff>
                    <xdr:row>26</xdr:row>
                    <xdr:rowOff>257175</xdr:rowOff>
                  </to>
                </anchor>
              </controlPr>
            </control>
          </mc:Choice>
        </mc:AlternateContent>
        <mc:AlternateContent xmlns:mc="http://schemas.openxmlformats.org/markup-compatibility/2006">
          <mc:Choice Requires="x14">
            <control shapeId="41987" r:id="rId6" name="Check Box 3">
              <controlPr defaultSize="0" autoFill="0" autoLine="0" autoPict="0">
                <anchor moveWithCells="1">
                  <from>
                    <xdr:col>5</xdr:col>
                    <xdr:colOff>161925</xdr:colOff>
                    <xdr:row>26</xdr:row>
                    <xdr:rowOff>38100</xdr:rowOff>
                  </from>
                  <to>
                    <xdr:col>5</xdr:col>
                    <xdr:colOff>581025</xdr:colOff>
                    <xdr:row>26</xdr:row>
                    <xdr:rowOff>257175</xdr:rowOff>
                  </to>
                </anchor>
              </controlPr>
            </control>
          </mc:Choice>
        </mc:AlternateContent>
        <mc:AlternateContent xmlns:mc="http://schemas.openxmlformats.org/markup-compatibility/2006">
          <mc:Choice Requires="x14">
            <control shapeId="41988" r:id="rId7" name="Check Box 4">
              <controlPr defaultSize="0" autoFill="0" autoLine="0" autoPict="0">
                <anchor moveWithCells="1">
                  <from>
                    <xdr:col>6</xdr:col>
                    <xdr:colOff>161925</xdr:colOff>
                    <xdr:row>26</xdr:row>
                    <xdr:rowOff>38100</xdr:rowOff>
                  </from>
                  <to>
                    <xdr:col>6</xdr:col>
                    <xdr:colOff>581025</xdr:colOff>
                    <xdr:row>26</xdr:row>
                    <xdr:rowOff>257175</xdr:rowOff>
                  </to>
                </anchor>
              </controlPr>
            </control>
          </mc:Choice>
        </mc:AlternateContent>
        <mc:AlternateContent xmlns:mc="http://schemas.openxmlformats.org/markup-compatibility/2006">
          <mc:Choice Requires="x14">
            <control shapeId="41989" r:id="rId8" name="Check Box 5">
              <controlPr defaultSize="0" autoFill="0" autoLine="0" autoPict="0">
                <anchor moveWithCells="1">
                  <from>
                    <xdr:col>1</xdr:col>
                    <xdr:colOff>161925</xdr:colOff>
                    <xdr:row>27</xdr:row>
                    <xdr:rowOff>38100</xdr:rowOff>
                  </from>
                  <to>
                    <xdr:col>1</xdr:col>
                    <xdr:colOff>581025</xdr:colOff>
                    <xdr:row>27</xdr:row>
                    <xdr:rowOff>257175</xdr:rowOff>
                  </to>
                </anchor>
              </controlPr>
            </control>
          </mc:Choice>
        </mc:AlternateContent>
        <mc:AlternateContent xmlns:mc="http://schemas.openxmlformats.org/markup-compatibility/2006">
          <mc:Choice Requires="x14">
            <control shapeId="41990" r:id="rId9" name="Check Box 6">
              <controlPr defaultSize="0" autoFill="0" autoLine="0" autoPict="0">
                <anchor moveWithCells="1">
                  <from>
                    <xdr:col>3</xdr:col>
                    <xdr:colOff>161925</xdr:colOff>
                    <xdr:row>27</xdr:row>
                    <xdr:rowOff>38100</xdr:rowOff>
                  </from>
                  <to>
                    <xdr:col>3</xdr:col>
                    <xdr:colOff>581025</xdr:colOff>
                    <xdr:row>27</xdr:row>
                    <xdr:rowOff>257175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E6B33-6F34-417E-AC6B-96B3F75CE1DE}">
  <sheetPr codeName="Hoja22">
    <tabColor theme="5" tint="-0.249977111117893"/>
    <pageSetUpPr fitToPage="1"/>
  </sheetPr>
  <dimension ref="A1:H38"/>
  <sheetViews>
    <sheetView showZeros="0" topLeftCell="A7" zoomScale="70" zoomScaleNormal="70" workbookViewId="0">
      <selection activeCell="E23" sqref="E23:H23"/>
    </sheetView>
  </sheetViews>
  <sheetFormatPr baseColWidth="10" defaultColWidth="11.42578125" defaultRowHeight="15"/>
  <cols>
    <col min="1" max="1" width="32.140625" customWidth="1" collapsed="1"/>
    <col min="2" max="2" width="17.140625" customWidth="1" collapsed="1"/>
    <col min="3" max="3" width="12.28515625" customWidth="1"/>
    <col min="4" max="4" width="9.85546875" customWidth="1" collapsed="1"/>
    <col min="5" max="5" width="30.5703125" customWidth="1" collapsed="1"/>
    <col min="6" max="6" width="29.42578125" customWidth="1" collapsed="1"/>
    <col min="7" max="7" width="24.7109375" customWidth="1" collapsed="1"/>
    <col min="8" max="8" width="28.85546875" customWidth="1" collapsed="1"/>
  </cols>
  <sheetData>
    <row r="1" spans="1:8" ht="23.25">
      <c r="A1" s="647" t="str">
        <f>+FORMULARIO!A1</f>
        <v>PANAMA CAR RENTAL, S.A.</v>
      </c>
      <c r="B1" s="647"/>
      <c r="C1" s="647"/>
      <c r="D1" s="647"/>
      <c r="E1" s="647"/>
      <c r="F1" s="647"/>
      <c r="G1" s="647"/>
      <c r="H1" s="647"/>
    </row>
    <row r="2" spans="1:8" ht="17.25" customHeight="1">
      <c r="A2" s="648" t="s">
        <v>2282</v>
      </c>
      <c r="B2" s="648"/>
      <c r="C2" s="648"/>
      <c r="D2" s="648"/>
      <c r="E2" s="648"/>
      <c r="F2" s="648"/>
      <c r="G2" s="648"/>
      <c r="H2" s="648"/>
    </row>
    <row r="3" spans="1:8" ht="17.25" customHeight="1">
      <c r="A3" s="648" t="s">
        <v>2283</v>
      </c>
      <c r="B3" s="648"/>
      <c r="C3" s="648"/>
      <c r="D3" s="648"/>
      <c r="E3" s="648"/>
      <c r="F3" s="648"/>
      <c r="G3" s="648"/>
      <c r="H3" s="648"/>
    </row>
    <row r="4" spans="1:8" ht="17.25" customHeight="1">
      <c r="A4" s="648" t="s">
        <v>2286</v>
      </c>
      <c r="B4" s="648"/>
      <c r="C4" s="648"/>
      <c r="D4" s="648"/>
      <c r="E4" s="648"/>
      <c r="F4" s="648"/>
      <c r="G4" s="648"/>
      <c r="H4" s="648"/>
    </row>
    <row r="5" spans="1:8" ht="17.25" customHeight="1">
      <c r="A5" s="648" t="s">
        <v>2287</v>
      </c>
      <c r="B5" s="648"/>
      <c r="C5" s="648"/>
      <c r="D5" s="648"/>
      <c r="E5" s="648"/>
      <c r="F5" s="648"/>
      <c r="G5" s="648"/>
      <c r="H5" s="648"/>
    </row>
    <row r="6" spans="1:8" s="1" customFormat="1" ht="17.25" customHeight="1">
      <c r="A6" s="648" t="s">
        <v>1764</v>
      </c>
      <c r="B6" s="648"/>
      <c r="C6" s="648"/>
      <c r="D6" s="648"/>
      <c r="E6" s="648"/>
      <c r="F6" s="648"/>
      <c r="G6" s="648"/>
      <c r="H6" s="648"/>
    </row>
    <row r="7" spans="1:8" s="1" customFormat="1" ht="17.25" customHeight="1">
      <c r="A7" s="649"/>
      <c r="B7" s="649"/>
      <c r="C7" s="649"/>
      <c r="D7" s="649"/>
      <c r="E7" s="649"/>
      <c r="F7" s="649"/>
      <c r="G7" s="649"/>
      <c r="H7" s="649"/>
    </row>
    <row r="8" spans="1:8" ht="17.25" customHeight="1">
      <c r="A8" s="645" t="s">
        <v>2265</v>
      </c>
      <c r="B8" s="645"/>
      <c r="C8" s="645"/>
      <c r="D8" s="645"/>
      <c r="E8" s="645"/>
      <c r="F8" s="645"/>
      <c r="G8" s="645"/>
      <c r="H8" s="645"/>
    </row>
    <row r="9" spans="1:8" ht="17.25" customHeight="1">
      <c r="A9" s="644"/>
      <c r="B9" s="644"/>
      <c r="C9" s="644"/>
      <c r="D9" s="644"/>
      <c r="E9" s="644"/>
      <c r="F9" s="644"/>
      <c r="G9" s="644"/>
      <c r="H9" s="644"/>
    </row>
    <row r="10" spans="1:8" ht="18.600000000000001" customHeight="1">
      <c r="A10" s="645" t="s">
        <v>2266</v>
      </c>
      <c r="B10" s="645"/>
      <c r="C10" s="645"/>
      <c r="D10" s="645"/>
      <c r="E10" s="645"/>
      <c r="F10" s="645"/>
      <c r="G10" s="645"/>
      <c r="H10" s="645"/>
    </row>
    <row r="11" spans="1:8" ht="18.600000000000001" customHeight="1">
      <c r="A11" s="645" t="s">
        <v>1466</v>
      </c>
      <c r="B11" s="645"/>
      <c r="C11" s="645"/>
      <c r="D11" s="645"/>
      <c r="E11" s="645"/>
      <c r="F11" s="645"/>
      <c r="G11" s="645"/>
      <c r="H11" s="645"/>
    </row>
    <row r="12" spans="1:8" ht="18.600000000000001" customHeight="1">
      <c r="A12" s="645" t="s">
        <v>2278</v>
      </c>
      <c r="B12" s="645"/>
      <c r="C12" s="645"/>
      <c r="D12" s="645"/>
      <c r="E12" s="645"/>
      <c r="F12" s="645"/>
      <c r="G12" s="645"/>
      <c r="H12" s="645"/>
    </row>
    <row r="13" spans="1:8" ht="18.600000000000001" customHeight="1">
      <c r="A13" s="52"/>
      <c r="B13" s="52"/>
      <c r="C13" s="52"/>
      <c r="D13" s="52"/>
      <c r="E13" s="52"/>
      <c r="F13" s="52"/>
      <c r="G13" s="52"/>
      <c r="H13" s="52"/>
    </row>
    <row r="14" spans="1:8" ht="18.600000000000001" customHeight="1">
      <c r="A14" s="644"/>
      <c r="B14" s="644"/>
      <c r="C14" s="644"/>
      <c r="D14" s="644"/>
      <c r="E14" s="644"/>
      <c r="F14" s="644"/>
      <c r="G14" s="644"/>
      <c r="H14" s="644"/>
    </row>
    <row r="15" spans="1:8" ht="18.600000000000001" customHeight="1">
      <c r="A15" s="645" t="s">
        <v>2277</v>
      </c>
      <c r="B15" s="645"/>
      <c r="C15" s="645"/>
      <c r="D15" s="645"/>
      <c r="E15" s="645"/>
      <c r="F15" s="645"/>
      <c r="G15" s="645"/>
      <c r="H15" s="645"/>
    </row>
    <row r="16" spans="1:8" ht="18.600000000000001" customHeight="1">
      <c r="A16" s="52"/>
      <c r="B16" s="52"/>
      <c r="C16" s="52"/>
      <c r="D16" s="52"/>
      <c r="E16" s="52"/>
      <c r="F16" s="52"/>
      <c r="G16" s="52"/>
      <c r="H16" s="52"/>
    </row>
    <row r="17" spans="1:8" ht="23.25" customHeight="1">
      <c r="A17" s="279" t="s">
        <v>2336</v>
      </c>
      <c r="B17" s="646" t="str">
        <f>CONCATENATE('CTC Pers. Natural'!B10," ",'CTC Pers. Natural'!F10," ",'CTC Pers. Natural'!H10," ",'CTC Pers. Natural'!B11)</f>
        <v xml:space="preserve">   </v>
      </c>
      <c r="C17" s="646"/>
      <c r="D17" s="646"/>
      <c r="E17" s="646"/>
      <c r="F17" s="646"/>
      <c r="G17" s="644" t="s">
        <v>2337</v>
      </c>
      <c r="H17" s="644"/>
    </row>
    <row r="18" spans="1:8" ht="23.25" customHeight="1">
      <c r="A18" s="280">
        <f>+'CTC Pers. Natural'!B14</f>
        <v>0</v>
      </c>
      <c r="B18" s="644" t="s">
        <v>2338</v>
      </c>
      <c r="C18" s="644"/>
      <c r="D18" s="644"/>
      <c r="E18" s="644"/>
      <c r="F18" s="644"/>
      <c r="G18" s="644"/>
      <c r="H18" s="644"/>
    </row>
    <row r="19" spans="1:8" ht="23.25" customHeight="1">
      <c r="A19" s="645" t="s">
        <v>2367</v>
      </c>
      <c r="B19" s="645"/>
      <c r="C19" s="645"/>
      <c r="D19" s="645"/>
      <c r="E19" s="645"/>
      <c r="F19" s="645"/>
      <c r="G19" s="645"/>
      <c r="H19" s="280"/>
    </row>
    <row r="20" spans="1:8" ht="23.25" customHeight="1">
      <c r="A20" s="646"/>
      <c r="B20" s="646"/>
      <c r="C20" s="646"/>
      <c r="D20" s="644"/>
      <c r="E20" s="279" t="s">
        <v>2361</v>
      </c>
      <c r="F20" s="280"/>
      <c r="G20" s="644" t="s">
        <v>2362</v>
      </c>
      <c r="H20" s="644"/>
    </row>
    <row r="21" spans="1:8" ht="24" customHeight="1">
      <c r="A21" s="285"/>
      <c r="B21" s="644" t="s">
        <v>2369</v>
      </c>
      <c r="C21" s="644"/>
      <c r="D21" s="644"/>
      <c r="E21" s="644"/>
      <c r="F21" s="646"/>
      <c r="G21" s="646"/>
      <c r="H21" s="272" t="s">
        <v>2364</v>
      </c>
    </row>
    <row r="22" spans="1:8" ht="23.25" customHeight="1">
      <c r="A22" s="641" t="s">
        <v>2365</v>
      </c>
      <c r="B22" s="641"/>
      <c r="C22" s="641"/>
      <c r="D22" s="641"/>
      <c r="E22" s="282">
        <f>+'PORTADA FILE VENTAS'!C6</f>
        <v>0</v>
      </c>
      <c r="F22" s="270" t="s">
        <v>2349</v>
      </c>
      <c r="G22" s="286"/>
      <c r="H22" s="264" t="s">
        <v>2366</v>
      </c>
    </row>
    <row r="23" spans="1:8" ht="23.25" customHeight="1">
      <c r="A23" s="282"/>
      <c r="B23" s="264" t="s">
        <v>2368</v>
      </c>
      <c r="C23" s="638"/>
      <c r="D23" s="638"/>
      <c r="E23" s="637"/>
      <c r="F23" s="637"/>
      <c r="G23" s="637"/>
      <c r="H23" s="637"/>
    </row>
    <row r="24" spans="1:8" ht="23.25" customHeight="1">
      <c r="A24" s="271"/>
      <c r="B24" s="271"/>
      <c r="C24" s="270"/>
      <c r="D24" s="270"/>
      <c r="E24" s="270"/>
      <c r="F24" s="270"/>
      <c r="G24" s="270"/>
      <c r="H24" s="270"/>
    </row>
    <row r="25" spans="1:8" ht="23.25" customHeight="1">
      <c r="A25" s="641" t="s">
        <v>2281</v>
      </c>
      <c r="B25" s="641"/>
      <c r="C25" s="652"/>
      <c r="D25" s="652"/>
      <c r="E25" s="264"/>
      <c r="F25" s="264"/>
      <c r="G25" s="264"/>
      <c r="H25" s="264"/>
    </row>
    <row r="26" spans="1:8" ht="23.25" customHeight="1">
      <c r="A26" s="271"/>
      <c r="B26" s="271"/>
      <c r="C26" s="287"/>
      <c r="D26" s="270"/>
      <c r="E26" s="270"/>
      <c r="F26" s="270"/>
      <c r="G26" s="270"/>
      <c r="H26" s="270"/>
    </row>
    <row r="27" spans="1:8" ht="23.25" customHeight="1">
      <c r="A27" s="271" t="s">
        <v>2132</v>
      </c>
      <c r="B27" s="264" t="s">
        <v>2358</v>
      </c>
      <c r="C27" s="264"/>
      <c r="D27" s="264" t="s">
        <v>2356</v>
      </c>
      <c r="E27" s="264" t="s">
        <v>2134</v>
      </c>
      <c r="F27" s="264" t="s">
        <v>2357</v>
      </c>
      <c r="G27" s="264" t="s">
        <v>2359</v>
      </c>
      <c r="H27" s="264"/>
    </row>
    <row r="28" spans="1:8" ht="23.25" customHeight="1">
      <c r="A28" s="264"/>
      <c r="B28" s="637" t="s">
        <v>2360</v>
      </c>
      <c r="C28" s="637"/>
      <c r="D28" s="264" t="s">
        <v>2357</v>
      </c>
      <c r="E28" s="264" t="s">
        <v>2138</v>
      </c>
      <c r="F28" s="264"/>
      <c r="G28" s="264"/>
      <c r="H28" s="264"/>
    </row>
    <row r="29" spans="1:8" ht="23.25" customHeight="1">
      <c r="A29" s="264"/>
      <c r="B29" s="270"/>
      <c r="C29" s="270"/>
      <c r="D29" s="264"/>
      <c r="E29" s="264"/>
      <c r="F29" s="264"/>
      <c r="G29" s="264"/>
      <c r="H29" s="264"/>
    </row>
    <row r="30" spans="1:8" ht="29.25" customHeight="1">
      <c r="A30" s="271" t="s">
        <v>23</v>
      </c>
      <c r="B30" s="271"/>
      <c r="C30" s="637"/>
      <c r="D30" s="637"/>
      <c r="E30" s="637"/>
      <c r="F30" s="637"/>
      <c r="G30" s="637"/>
      <c r="H30" s="637"/>
    </row>
    <row r="31" spans="1:8" ht="69.75" customHeight="1">
      <c r="A31" s="637"/>
      <c r="B31" s="637"/>
      <c r="C31" s="637"/>
      <c r="D31" s="637"/>
      <c r="E31" s="642" t="s">
        <v>2276</v>
      </c>
      <c r="F31" s="642"/>
      <c r="G31" s="637"/>
      <c r="H31" s="637"/>
    </row>
    <row r="32" spans="1:8" ht="15" customHeight="1">
      <c r="A32" s="637"/>
      <c r="B32" s="637"/>
      <c r="C32" s="637"/>
      <c r="D32" s="637"/>
      <c r="E32" s="637"/>
      <c r="F32" s="637"/>
      <c r="G32" s="637"/>
      <c r="H32" s="637"/>
    </row>
    <row r="33" spans="1:8" ht="19.5" customHeight="1">
      <c r="A33" s="271" t="s">
        <v>2274</v>
      </c>
      <c r="B33" s="638"/>
      <c r="C33" s="638"/>
      <c r="D33" s="638"/>
      <c r="E33" s="638"/>
      <c r="F33" s="637"/>
      <c r="G33" s="637"/>
      <c r="H33" s="637"/>
    </row>
    <row r="34" spans="1:8" ht="19.5" customHeight="1">
      <c r="A34" s="271" t="s">
        <v>2275</v>
      </c>
      <c r="B34" s="638"/>
      <c r="C34" s="638"/>
      <c r="D34" s="264"/>
      <c r="E34" s="264"/>
      <c r="F34" s="637"/>
      <c r="G34" s="637"/>
      <c r="H34" s="637"/>
    </row>
    <row r="35" spans="1:8" ht="19.5" customHeight="1">
      <c r="A35" s="637"/>
      <c r="B35" s="637"/>
      <c r="C35" s="637"/>
      <c r="D35" s="637"/>
      <c r="E35" s="637"/>
      <c r="F35" s="637"/>
      <c r="G35" s="637"/>
      <c r="H35" s="637"/>
    </row>
    <row r="36" spans="1:8" ht="21">
      <c r="A36" s="639" t="s">
        <v>2217</v>
      </c>
      <c r="B36" s="639"/>
      <c r="C36" s="639"/>
      <c r="D36" s="639"/>
      <c r="E36" s="639"/>
      <c r="F36" s="639"/>
      <c r="G36" s="639"/>
      <c r="H36" s="639"/>
    </row>
    <row r="37" spans="1:8" ht="84.75" customHeight="1">
      <c r="A37" s="640" t="s">
        <v>2218</v>
      </c>
      <c r="B37" s="640"/>
      <c r="C37" s="640"/>
      <c r="D37" s="640"/>
      <c r="E37" s="640"/>
      <c r="F37" s="640"/>
      <c r="G37" s="640"/>
      <c r="H37" s="640"/>
    </row>
    <row r="38" spans="1:8" ht="55.5" customHeight="1">
      <c r="A38" s="636" t="s">
        <v>2202</v>
      </c>
      <c r="B38" s="636"/>
      <c r="C38" s="636"/>
      <c r="D38" s="636"/>
      <c r="E38" s="636"/>
      <c r="F38" s="636"/>
      <c r="G38" s="636"/>
      <c r="H38" s="636"/>
    </row>
  </sheetData>
  <mergeCells count="41">
    <mergeCell ref="A12:H12"/>
    <mergeCell ref="A1:H1"/>
    <mergeCell ref="A2:H2"/>
    <mergeCell ref="A3:H3"/>
    <mergeCell ref="A4:H4"/>
    <mergeCell ref="A5:H5"/>
    <mergeCell ref="A6:H6"/>
    <mergeCell ref="A7:H7"/>
    <mergeCell ref="A8:H8"/>
    <mergeCell ref="A9:H9"/>
    <mergeCell ref="A10:H10"/>
    <mergeCell ref="A11:H11"/>
    <mergeCell ref="A25:B25"/>
    <mergeCell ref="C25:D25"/>
    <mergeCell ref="A14:H14"/>
    <mergeCell ref="A15:H15"/>
    <mergeCell ref="B17:F17"/>
    <mergeCell ref="G17:H17"/>
    <mergeCell ref="B18:H18"/>
    <mergeCell ref="A19:G19"/>
    <mergeCell ref="A20:D20"/>
    <mergeCell ref="G20:H20"/>
    <mergeCell ref="F21:G21"/>
    <mergeCell ref="A22:D22"/>
    <mergeCell ref="E23:H23"/>
    <mergeCell ref="A38:H38"/>
    <mergeCell ref="B21:E21"/>
    <mergeCell ref="C23:D23"/>
    <mergeCell ref="B33:E33"/>
    <mergeCell ref="F33:H35"/>
    <mergeCell ref="B34:C34"/>
    <mergeCell ref="A35:E35"/>
    <mergeCell ref="A36:H36"/>
    <mergeCell ref="A37:H37"/>
    <mergeCell ref="B28:C28"/>
    <mergeCell ref="C30:D30"/>
    <mergeCell ref="E30:H30"/>
    <mergeCell ref="A31:D32"/>
    <mergeCell ref="E31:F31"/>
    <mergeCell ref="G31:H31"/>
    <mergeCell ref="E32:H32"/>
  </mergeCells>
  <printOptions horizontalCentered="1" verticalCentered="1"/>
  <pageMargins left="0.7" right="0.7" top="0.75" bottom="0.75" header="0.3" footer="0.3"/>
  <pageSetup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Check Box 1">
              <controlPr defaultSize="0" autoFill="0" autoLine="0" autoPict="0">
                <anchor moveWithCells="1">
                  <from>
                    <xdr:col>1</xdr:col>
                    <xdr:colOff>161925</xdr:colOff>
                    <xdr:row>26</xdr:row>
                    <xdr:rowOff>38100</xdr:rowOff>
                  </from>
                  <to>
                    <xdr:col>1</xdr:col>
                    <xdr:colOff>581025</xdr:colOff>
                    <xdr:row>26</xdr:row>
                    <xdr:rowOff>257175</xdr:rowOff>
                  </to>
                </anchor>
              </controlPr>
            </control>
          </mc:Choice>
        </mc:AlternateContent>
        <mc:AlternateContent xmlns:mc="http://schemas.openxmlformats.org/markup-compatibility/2006">
          <mc:Choice Requires="x14">
            <control shapeId="43010" r:id="rId5" name="Check Box 2">
              <controlPr defaultSize="0" autoFill="0" autoLine="0" autoPict="0">
                <anchor moveWithCells="1">
                  <from>
                    <xdr:col>3</xdr:col>
                    <xdr:colOff>161925</xdr:colOff>
                    <xdr:row>26</xdr:row>
                    <xdr:rowOff>38100</xdr:rowOff>
                  </from>
                  <to>
                    <xdr:col>3</xdr:col>
                    <xdr:colOff>581025</xdr:colOff>
                    <xdr:row>26</xdr:row>
                    <xdr:rowOff>257175</xdr:rowOff>
                  </to>
                </anchor>
              </controlPr>
            </control>
          </mc:Choice>
        </mc:AlternateContent>
        <mc:AlternateContent xmlns:mc="http://schemas.openxmlformats.org/markup-compatibility/2006">
          <mc:Choice Requires="x14">
            <control shapeId="43011" r:id="rId6" name="Check Box 3">
              <controlPr defaultSize="0" autoFill="0" autoLine="0" autoPict="0">
                <anchor moveWithCells="1">
                  <from>
                    <xdr:col>5</xdr:col>
                    <xdr:colOff>161925</xdr:colOff>
                    <xdr:row>26</xdr:row>
                    <xdr:rowOff>38100</xdr:rowOff>
                  </from>
                  <to>
                    <xdr:col>5</xdr:col>
                    <xdr:colOff>581025</xdr:colOff>
                    <xdr:row>26</xdr:row>
                    <xdr:rowOff>257175</xdr:rowOff>
                  </to>
                </anchor>
              </controlPr>
            </control>
          </mc:Choice>
        </mc:AlternateContent>
        <mc:AlternateContent xmlns:mc="http://schemas.openxmlformats.org/markup-compatibility/2006">
          <mc:Choice Requires="x14">
            <control shapeId="43012" r:id="rId7" name="Check Box 4">
              <controlPr defaultSize="0" autoFill="0" autoLine="0" autoPict="0">
                <anchor moveWithCells="1">
                  <from>
                    <xdr:col>6</xdr:col>
                    <xdr:colOff>161925</xdr:colOff>
                    <xdr:row>26</xdr:row>
                    <xdr:rowOff>38100</xdr:rowOff>
                  </from>
                  <to>
                    <xdr:col>6</xdr:col>
                    <xdr:colOff>581025</xdr:colOff>
                    <xdr:row>26</xdr:row>
                    <xdr:rowOff>257175</xdr:rowOff>
                  </to>
                </anchor>
              </controlPr>
            </control>
          </mc:Choice>
        </mc:AlternateContent>
        <mc:AlternateContent xmlns:mc="http://schemas.openxmlformats.org/markup-compatibility/2006">
          <mc:Choice Requires="x14">
            <control shapeId="43013" r:id="rId8" name="Check Box 5">
              <controlPr defaultSize="0" autoFill="0" autoLine="0" autoPict="0">
                <anchor moveWithCells="1">
                  <from>
                    <xdr:col>1</xdr:col>
                    <xdr:colOff>161925</xdr:colOff>
                    <xdr:row>27</xdr:row>
                    <xdr:rowOff>38100</xdr:rowOff>
                  </from>
                  <to>
                    <xdr:col>1</xdr:col>
                    <xdr:colOff>581025</xdr:colOff>
                    <xdr:row>27</xdr:row>
                    <xdr:rowOff>257175</xdr:rowOff>
                  </to>
                </anchor>
              </controlPr>
            </control>
          </mc:Choice>
        </mc:AlternateContent>
        <mc:AlternateContent xmlns:mc="http://schemas.openxmlformats.org/markup-compatibility/2006">
          <mc:Choice Requires="x14">
            <control shapeId="43014" r:id="rId9" name="Check Box 6">
              <controlPr defaultSize="0" autoFill="0" autoLine="0" autoPict="0">
                <anchor moveWithCells="1">
                  <from>
                    <xdr:col>3</xdr:col>
                    <xdr:colOff>161925</xdr:colOff>
                    <xdr:row>27</xdr:row>
                    <xdr:rowOff>38100</xdr:rowOff>
                  </from>
                  <to>
                    <xdr:col>3</xdr:col>
                    <xdr:colOff>581025</xdr:colOff>
                    <xdr:row>27</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5658804-6BD8-4FA2-97E6-7CA9EBC688E7}">
          <x14:formula1>
            <xm:f>CATÁLOGO!$H$10:$H$18</xm:f>
          </x14:formula1>
          <xm:sqref>C24:D24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tabColor theme="7" tint="0.39997558519241921"/>
    <pageSetUpPr fitToPage="1"/>
  </sheetPr>
  <dimension ref="A1:I58"/>
  <sheetViews>
    <sheetView showZeros="0" workbookViewId="0">
      <selection activeCell="I1" sqref="I1"/>
    </sheetView>
  </sheetViews>
  <sheetFormatPr baseColWidth="10" defaultColWidth="11.42578125" defaultRowHeight="15"/>
  <cols>
    <col min="1" max="1" width="3.7109375" customWidth="1" collapsed="1"/>
    <col min="2" max="2" width="21" customWidth="1" collapsed="1"/>
    <col min="3" max="3" width="24.5703125" customWidth="1" collapsed="1"/>
    <col min="4" max="4" width="22.140625" customWidth="1" collapsed="1"/>
    <col min="5" max="5" width="6.28515625" customWidth="1" collapsed="1"/>
    <col min="6" max="6" width="20.85546875" customWidth="1" collapsed="1"/>
    <col min="7" max="7" width="22.140625" customWidth="1" collapsed="1"/>
    <col min="8" max="9" width="16.28515625" customWidth="1" collapsed="1"/>
  </cols>
  <sheetData>
    <row r="1" spans="1:9" ht="23.25">
      <c r="A1" s="42" t="str">
        <f>+FORMULARIO!A1</f>
        <v>PANAMA CAR RENTAL, S.A.</v>
      </c>
      <c r="B1" s="42"/>
    </row>
    <row r="2" spans="1:9" ht="17.25" customHeight="1">
      <c r="A2" s="1" t="s">
        <v>1366</v>
      </c>
      <c r="B2" s="1"/>
    </row>
    <row r="3" spans="1:9" ht="17.25" customHeight="1">
      <c r="A3" s="1" t="s">
        <v>1367</v>
      </c>
      <c r="B3" s="1"/>
    </row>
    <row r="4" spans="1:9" ht="8.25" customHeight="1" thickBot="1">
      <c r="A4" s="1"/>
      <c r="B4" s="1"/>
    </row>
    <row r="5" spans="1:9" s="43" customFormat="1" ht="21" customHeight="1">
      <c r="A5" s="717" t="s">
        <v>1341</v>
      </c>
      <c r="B5" s="718"/>
      <c r="C5" s="718"/>
      <c r="D5" s="718"/>
      <c r="E5" s="718"/>
      <c r="F5" s="718"/>
      <c r="G5" s="718"/>
      <c r="H5" s="718"/>
      <c r="I5" s="719"/>
    </row>
    <row r="6" spans="1:9" ht="19.5" customHeight="1">
      <c r="A6" s="74" t="s">
        <v>96</v>
      </c>
      <c r="B6" s="79"/>
      <c r="C6" s="139">
        <f>+FORMULARIO!C31</f>
        <v>0</v>
      </c>
      <c r="D6" s="76" t="s">
        <v>97</v>
      </c>
      <c r="E6" s="653">
        <f>+FORMULARIO!C32</f>
        <v>0</v>
      </c>
      <c r="F6" s="684"/>
      <c r="G6" s="76" t="s">
        <v>98</v>
      </c>
      <c r="H6" s="653">
        <f>+FORMULARIO!C33</f>
        <v>0</v>
      </c>
      <c r="I6" s="654"/>
    </row>
    <row r="7" spans="1:9" ht="19.5" customHeight="1">
      <c r="A7" s="74" t="s">
        <v>99</v>
      </c>
      <c r="B7" s="79"/>
      <c r="C7" s="139">
        <f>+FORMULARIO!C34</f>
        <v>0</v>
      </c>
      <c r="D7" s="76" t="s">
        <v>100</v>
      </c>
      <c r="E7" s="653">
        <f>+FORMULARIO!C35</f>
        <v>0</v>
      </c>
      <c r="F7" s="653"/>
      <c r="G7" s="653"/>
      <c r="H7" s="653"/>
      <c r="I7" s="654"/>
    </row>
    <row r="8" spans="1:9" ht="19.5" customHeight="1">
      <c r="A8" s="75" t="s">
        <v>101</v>
      </c>
      <c r="B8" s="78"/>
      <c r="C8" s="653">
        <f>+FORMULARIO!C36</f>
        <v>0</v>
      </c>
      <c r="D8" s="684"/>
      <c r="E8" s="76" t="s">
        <v>102</v>
      </c>
      <c r="F8" s="78"/>
      <c r="G8" s="720">
        <f>+FORMULARIO!C37</f>
        <v>0</v>
      </c>
      <c r="H8" s="720"/>
      <c r="I8" s="721"/>
    </row>
    <row r="9" spans="1:9" ht="19.5" customHeight="1">
      <c r="A9" s="75" t="s">
        <v>103</v>
      </c>
      <c r="B9" s="78"/>
      <c r="C9" s="653">
        <f>+FORMULARIO!C38</f>
        <v>0</v>
      </c>
      <c r="D9" s="684"/>
      <c r="E9" s="76" t="s">
        <v>104</v>
      </c>
      <c r="F9" s="653">
        <f>+FORMULARIO!C39</f>
        <v>0</v>
      </c>
      <c r="G9" s="653"/>
      <c r="H9" s="653"/>
      <c r="I9" s="654"/>
    </row>
    <row r="10" spans="1:9" ht="19.5" customHeight="1">
      <c r="A10" s="75" t="s">
        <v>105</v>
      </c>
      <c r="B10" s="78"/>
      <c r="C10" s="653">
        <f>+FORMULARIO!C40</f>
        <v>0</v>
      </c>
      <c r="D10" s="684"/>
      <c r="E10" s="76" t="s">
        <v>106</v>
      </c>
      <c r="F10" s="78"/>
      <c r="G10" s="653">
        <f>+FORMULARIO!C41</f>
        <v>0</v>
      </c>
      <c r="H10" s="653"/>
      <c r="I10" s="654"/>
    </row>
    <row r="11" spans="1:9" ht="19.5" customHeight="1">
      <c r="A11" s="75" t="s">
        <v>107</v>
      </c>
      <c r="B11" s="78"/>
      <c r="C11" s="653">
        <f>+FORMULARIO!C42</f>
        <v>0</v>
      </c>
      <c r="D11" s="684"/>
      <c r="E11" s="731" t="s">
        <v>108</v>
      </c>
      <c r="F11" s="732"/>
      <c r="G11" s="737" t="str">
        <f>+IF(C10&gt;0,(CONCATENATE(FORMULARIO!C46,","," ",FORMULARIO!C47,","," ",FORMULARIO!C48,","," ",FORMULARIO!C45,","," ",FORMULARIO!C44,","," ",FORMULARIO!C43)),"")</f>
        <v/>
      </c>
      <c r="H11" s="737"/>
      <c r="I11" s="738"/>
    </row>
    <row r="12" spans="1:9" ht="19.5" customHeight="1">
      <c r="A12" s="75" t="s">
        <v>109</v>
      </c>
      <c r="B12" s="78"/>
      <c r="C12" s="653">
        <f>+FORMULARIO!C49</f>
        <v>0</v>
      </c>
      <c r="D12" s="684"/>
      <c r="E12" s="733"/>
      <c r="F12" s="734"/>
      <c r="G12" s="739"/>
      <c r="H12" s="739"/>
      <c r="I12" s="740"/>
    </row>
    <row r="13" spans="1:9" ht="19.5" customHeight="1">
      <c r="A13" s="75" t="s">
        <v>110</v>
      </c>
      <c r="B13" s="78"/>
      <c r="C13" s="653">
        <f>+FORMULARIO!C50</f>
        <v>0</v>
      </c>
      <c r="D13" s="684"/>
      <c r="E13" s="735"/>
      <c r="F13" s="736"/>
      <c r="G13" s="741"/>
      <c r="H13" s="741"/>
      <c r="I13" s="742"/>
    </row>
    <row r="14" spans="1:9" ht="19.5" customHeight="1">
      <c r="A14" s="75" t="s">
        <v>111</v>
      </c>
      <c r="B14" s="78"/>
      <c r="C14" s="130">
        <f>+FORMULARIO!C51</f>
        <v>0</v>
      </c>
      <c r="D14" s="76" t="s">
        <v>112</v>
      </c>
      <c r="E14" s="653">
        <f>+FORMULARIO!C52</f>
        <v>0</v>
      </c>
      <c r="F14" s="684"/>
      <c r="G14" s="76" t="s">
        <v>113</v>
      </c>
      <c r="H14" s="653">
        <f>+FORMULARIO!C53</f>
        <v>0</v>
      </c>
      <c r="I14" s="654"/>
    </row>
    <row r="15" spans="1:9" ht="21" customHeight="1">
      <c r="A15" s="673" t="s">
        <v>114</v>
      </c>
      <c r="B15" s="400"/>
      <c r="C15" s="400"/>
      <c r="D15" s="400"/>
      <c r="E15" s="400"/>
      <c r="F15" s="400"/>
      <c r="G15" s="400"/>
      <c r="H15" s="400"/>
      <c r="I15" s="674"/>
    </row>
    <row r="16" spans="1:9" ht="19.5" customHeight="1">
      <c r="A16" s="75" t="s">
        <v>115</v>
      </c>
      <c r="B16" s="78"/>
      <c r="C16" s="653">
        <f>+FORMULARIO!C55</f>
        <v>0</v>
      </c>
      <c r="D16" s="684"/>
      <c r="E16" s="76" t="s">
        <v>116</v>
      </c>
      <c r="F16" s="78"/>
      <c r="G16" s="653">
        <f>+FORMULARIO!C56</f>
        <v>0</v>
      </c>
      <c r="H16" s="653"/>
      <c r="I16" s="654"/>
    </row>
    <row r="17" spans="1:9" ht="19.5" customHeight="1">
      <c r="A17" s="75" t="s">
        <v>117</v>
      </c>
      <c r="B17" s="78"/>
      <c r="C17" s="653">
        <f>+FORMULARIO!C57</f>
        <v>0</v>
      </c>
      <c r="D17" s="684"/>
      <c r="E17" s="709" t="s">
        <v>118</v>
      </c>
      <c r="F17" s="710"/>
      <c r="G17" s="713">
        <f>+FORMULARIO!C58</f>
        <v>0</v>
      </c>
      <c r="H17" s="713"/>
      <c r="I17" s="714"/>
    </row>
    <row r="18" spans="1:9" ht="19.5" customHeight="1">
      <c r="A18" s="75" t="s">
        <v>110</v>
      </c>
      <c r="B18" s="78"/>
      <c r="C18" s="653">
        <f>+FORMULARIO!C62</f>
        <v>0</v>
      </c>
      <c r="D18" s="684"/>
      <c r="E18" s="711"/>
      <c r="F18" s="712"/>
      <c r="G18" s="715"/>
      <c r="H18" s="715"/>
      <c r="I18" s="716"/>
    </row>
    <row r="19" spans="1:9" ht="19.5" customHeight="1">
      <c r="A19" s="75" t="s">
        <v>119</v>
      </c>
      <c r="B19" s="78"/>
      <c r="C19" s="130">
        <f>+FORMULARIO!C60</f>
        <v>0</v>
      </c>
      <c r="D19" s="76" t="s">
        <v>113</v>
      </c>
      <c r="E19" s="653">
        <f>+FORMULARIO!C61</f>
        <v>0</v>
      </c>
      <c r="F19" s="684"/>
      <c r="G19" s="76" t="s">
        <v>109</v>
      </c>
      <c r="H19" s="78"/>
      <c r="I19" s="131">
        <f>+FORMULARIO!C59</f>
        <v>0</v>
      </c>
    </row>
    <row r="20" spans="1:9" ht="21" customHeight="1">
      <c r="A20" s="673" t="s">
        <v>1397</v>
      </c>
      <c r="B20" s="400"/>
      <c r="C20" s="400"/>
      <c r="D20" s="400"/>
      <c r="E20" s="400"/>
      <c r="F20" s="400"/>
      <c r="G20" s="400"/>
      <c r="H20" s="400"/>
      <c r="I20" s="674"/>
    </row>
    <row r="21" spans="1:9" ht="30">
      <c r="A21" s="134" t="s">
        <v>1368</v>
      </c>
      <c r="B21" s="77" t="s">
        <v>1369</v>
      </c>
      <c r="C21" s="77" t="s">
        <v>1370</v>
      </c>
      <c r="D21" s="135" t="s">
        <v>1371</v>
      </c>
      <c r="E21" s="685" t="s">
        <v>1372</v>
      </c>
      <c r="F21" s="685"/>
      <c r="G21" s="685"/>
      <c r="H21" s="686" t="s">
        <v>1373</v>
      </c>
      <c r="I21" s="687"/>
    </row>
    <row r="22" spans="1:9" ht="21" customHeight="1">
      <c r="A22" s="134">
        <v>1</v>
      </c>
      <c r="B22" s="152">
        <f>+FORMULARIO!I11</f>
        <v>0</v>
      </c>
      <c r="C22" s="149">
        <f>+FORMULARIO!I12</f>
        <v>0</v>
      </c>
      <c r="D22" s="149">
        <f>+FORMULARIO!I13</f>
        <v>0</v>
      </c>
      <c r="E22" s="675">
        <f>+FORMULARIO!I14</f>
        <v>0</v>
      </c>
      <c r="F22" s="675"/>
      <c r="G22" s="675"/>
      <c r="H22" s="688">
        <f>+FORMULARIO!I15</f>
        <v>0</v>
      </c>
      <c r="I22" s="689"/>
    </row>
    <row r="23" spans="1:9" ht="21" customHeight="1">
      <c r="A23" s="134">
        <v>2</v>
      </c>
      <c r="B23" s="152">
        <f>+FORMULARIO!J11</f>
        <v>0</v>
      </c>
      <c r="C23" s="149">
        <f>+FORMULARIO!J12</f>
        <v>0</v>
      </c>
      <c r="D23" s="149">
        <f>+FORMULARIO!J13</f>
        <v>0</v>
      </c>
      <c r="E23" s="675">
        <f>+FORMULARIO!J14</f>
        <v>0</v>
      </c>
      <c r="F23" s="675"/>
      <c r="G23" s="675"/>
      <c r="H23" s="688">
        <f>+FORMULARIO!J15</f>
        <v>0</v>
      </c>
      <c r="I23" s="689"/>
    </row>
    <row r="24" spans="1:9" ht="21" customHeight="1">
      <c r="A24" s="134">
        <v>3</v>
      </c>
      <c r="B24" s="152">
        <f>+FORMULARIO!K11</f>
        <v>0</v>
      </c>
      <c r="C24" s="149">
        <f>+FORMULARIO!K12</f>
        <v>0</v>
      </c>
      <c r="D24" s="149">
        <f>+FORMULARIO!K13</f>
        <v>0</v>
      </c>
      <c r="E24" s="675">
        <f>+FORMULARIO!K14</f>
        <v>0</v>
      </c>
      <c r="F24" s="675"/>
      <c r="G24" s="675"/>
      <c r="H24" s="688">
        <f>+FORMULARIO!K15</f>
        <v>0</v>
      </c>
      <c r="I24" s="689"/>
    </row>
    <row r="25" spans="1:9" ht="21" customHeight="1">
      <c r="A25" s="75"/>
      <c r="B25" s="78"/>
      <c r="C25" s="136"/>
      <c r="D25" s="136"/>
      <c r="E25" s="706" t="s">
        <v>1374</v>
      </c>
      <c r="F25" s="706"/>
      <c r="G25" s="707"/>
      <c r="H25" s="704">
        <f>SUM(H22:I24)</f>
        <v>0</v>
      </c>
      <c r="I25" s="705"/>
    </row>
    <row r="26" spans="1:9" ht="21" customHeight="1">
      <c r="A26" s="673" t="s">
        <v>1398</v>
      </c>
      <c r="B26" s="400"/>
      <c r="C26" s="400"/>
      <c r="D26" s="400"/>
      <c r="E26" s="400"/>
      <c r="F26" s="400"/>
      <c r="G26" s="400"/>
      <c r="H26" s="400"/>
      <c r="I26" s="674"/>
    </row>
    <row r="27" spans="1:9" ht="30" customHeight="1">
      <c r="A27" s="134" t="s">
        <v>1368</v>
      </c>
      <c r="B27" s="77" t="s">
        <v>1369</v>
      </c>
      <c r="C27" s="135" t="s">
        <v>1379</v>
      </c>
      <c r="D27" s="135" t="s">
        <v>1380</v>
      </c>
      <c r="E27" s="690" t="s">
        <v>1381</v>
      </c>
      <c r="F27" s="685"/>
      <c r="G27" s="685"/>
      <c r="H27" s="686" t="s">
        <v>1373</v>
      </c>
      <c r="I27" s="687"/>
    </row>
    <row r="28" spans="1:9" ht="31.5" customHeight="1">
      <c r="A28" s="134">
        <v>1</v>
      </c>
      <c r="B28" s="152">
        <f>+FORMULARIO!I17</f>
        <v>0</v>
      </c>
      <c r="C28" s="157">
        <f>+FORMULARIO!I18</f>
        <v>0</v>
      </c>
      <c r="D28" s="149">
        <f>+FORMULARIO!I19</f>
        <v>0</v>
      </c>
      <c r="E28" s="675">
        <f>+FORMULARIO!I20</f>
        <v>0</v>
      </c>
      <c r="F28" s="675"/>
      <c r="G28" s="675"/>
      <c r="H28" s="688">
        <f>+FORMULARIO!I21</f>
        <v>0</v>
      </c>
      <c r="I28" s="689"/>
    </row>
    <row r="29" spans="1:9" ht="31.5" customHeight="1">
      <c r="A29" s="134">
        <v>2</v>
      </c>
      <c r="B29" s="152"/>
      <c r="C29" s="149"/>
      <c r="D29" s="149"/>
      <c r="E29" s="675"/>
      <c r="F29" s="675"/>
      <c r="G29" s="675"/>
      <c r="H29" s="688"/>
      <c r="I29" s="689"/>
    </row>
    <row r="30" spans="1:9" ht="31.5" customHeight="1">
      <c r="A30" s="134">
        <v>3</v>
      </c>
      <c r="B30" s="152"/>
      <c r="C30" s="149"/>
      <c r="D30" s="149"/>
      <c r="E30" s="675"/>
      <c r="F30" s="675"/>
      <c r="G30" s="675"/>
      <c r="H30" s="688"/>
      <c r="I30" s="689"/>
    </row>
    <row r="31" spans="1:9" ht="21" customHeight="1">
      <c r="A31" s="75"/>
      <c r="B31" s="78"/>
      <c r="C31" s="136"/>
      <c r="D31" s="136"/>
      <c r="E31" s="706" t="s">
        <v>1374</v>
      </c>
      <c r="F31" s="706"/>
      <c r="G31" s="707"/>
      <c r="H31" s="704">
        <f>SUM(H28:I30)</f>
        <v>0</v>
      </c>
      <c r="I31" s="708"/>
    </row>
    <row r="32" spans="1:9" ht="21" customHeight="1">
      <c r="A32" s="673" t="s">
        <v>1382</v>
      </c>
      <c r="B32" s="400"/>
      <c r="C32" s="400"/>
      <c r="D32" s="400"/>
      <c r="E32" s="400"/>
      <c r="F32" s="400"/>
      <c r="G32" s="400"/>
      <c r="H32" s="400"/>
      <c r="I32" s="674"/>
    </row>
    <row r="33" spans="1:9" ht="21" customHeight="1">
      <c r="A33" s="694" t="s">
        <v>133</v>
      </c>
      <c r="B33" s="685"/>
      <c r="C33" s="685"/>
      <c r="D33" s="685" t="s">
        <v>1376</v>
      </c>
      <c r="E33" s="685"/>
      <c r="F33" s="685" t="s">
        <v>1377</v>
      </c>
      <c r="G33" s="685"/>
      <c r="H33" s="136"/>
      <c r="I33" s="137"/>
    </row>
    <row r="34" spans="1:9" ht="21" customHeight="1">
      <c r="A34" s="696" t="str">
        <f>+FORMULARIO!C10</f>
        <v/>
      </c>
      <c r="B34" s="675"/>
      <c r="C34" s="675"/>
      <c r="D34" s="675" t="str">
        <f>+IF(A34&gt;0,"RUC","")</f>
        <v>RUC</v>
      </c>
      <c r="E34" s="675"/>
      <c r="F34" s="675">
        <f>+IF(A34="AUTOMARKET PANAMA, S.A.",DATOS!A31,IF('RTE Pers. Natural'!A34="PANAMA CAR RENTAL, S.A.",DATOS!A32,0))</f>
        <v>0</v>
      </c>
      <c r="G34" s="675"/>
      <c r="H34" s="136"/>
      <c r="I34" s="137"/>
    </row>
    <row r="35" spans="1:9" ht="21" customHeight="1">
      <c r="A35" s="673" t="s">
        <v>1375</v>
      </c>
      <c r="B35" s="400"/>
      <c r="C35" s="400"/>
      <c r="D35" s="400"/>
      <c r="E35" s="400"/>
      <c r="F35" s="400"/>
      <c r="G35" s="400"/>
      <c r="H35" s="400"/>
      <c r="I35" s="674"/>
    </row>
    <row r="36" spans="1:9" ht="21" customHeight="1">
      <c r="A36" s="722" t="s">
        <v>137</v>
      </c>
      <c r="B36" s="723"/>
      <c r="C36" s="723"/>
      <c r="D36" s="692"/>
      <c r="E36" s="685" t="s">
        <v>1376</v>
      </c>
      <c r="F36" s="685"/>
      <c r="G36" s="77" t="s">
        <v>1377</v>
      </c>
      <c r="H36" s="691" t="s">
        <v>1378</v>
      </c>
      <c r="I36" s="702"/>
    </row>
    <row r="37" spans="1:9" ht="21" customHeight="1">
      <c r="A37" s="724">
        <f>+FORMULARIO!I23</f>
        <v>0</v>
      </c>
      <c r="B37" s="725"/>
      <c r="C37" s="725"/>
      <c r="D37" s="726"/>
      <c r="E37" s="675">
        <f>+FORMULARIO!I24</f>
        <v>0</v>
      </c>
      <c r="F37" s="675"/>
      <c r="G37" s="149">
        <f>+FORMULARIO!I25</f>
        <v>0</v>
      </c>
      <c r="H37" s="700">
        <f>+FORMULARIO!I26</f>
        <v>0</v>
      </c>
      <c r="I37" s="703"/>
    </row>
    <row r="38" spans="1:9" ht="21" customHeight="1">
      <c r="A38" s="673" t="s">
        <v>1383</v>
      </c>
      <c r="B38" s="400"/>
      <c r="C38" s="400"/>
      <c r="D38" s="400"/>
      <c r="E38" s="400"/>
      <c r="F38" s="400"/>
      <c r="G38" s="400"/>
      <c r="H38" s="400"/>
      <c r="I38" s="674"/>
    </row>
    <row r="39" spans="1:9" ht="21" customHeight="1">
      <c r="A39" s="694" t="s">
        <v>1384</v>
      </c>
      <c r="B39" s="685"/>
      <c r="C39" s="685" t="s">
        <v>1385</v>
      </c>
      <c r="D39" s="685"/>
      <c r="E39" s="685" t="s">
        <v>1386</v>
      </c>
      <c r="F39" s="685"/>
      <c r="G39" s="685"/>
      <c r="H39" s="691"/>
      <c r="I39" s="695"/>
    </row>
    <row r="40" spans="1:9" ht="44.25" customHeight="1">
      <c r="A40" s="696" t="str">
        <f>+FORMULARIO!I28</f>
        <v/>
      </c>
      <c r="B40" s="675"/>
      <c r="C40" s="675" t="str">
        <f>+FORMULARIO!I33</f>
        <v/>
      </c>
      <c r="D40" s="675"/>
      <c r="E40" s="675" t="str">
        <f>+IF(H25+H31&gt;0,(CONCATENATE(FORMULARIO!I29,","," ",FORMULARIO!I32,","," ",FORMULARIO!I30)),"")</f>
        <v/>
      </c>
      <c r="F40" s="675"/>
      <c r="G40" s="675"/>
      <c r="H40" s="700"/>
      <c r="I40" s="701"/>
    </row>
    <row r="41" spans="1:9" ht="21" customHeight="1">
      <c r="A41" s="673" t="s">
        <v>1387</v>
      </c>
      <c r="B41" s="400"/>
      <c r="C41" s="400"/>
      <c r="D41" s="400"/>
      <c r="E41" s="400"/>
      <c r="F41" s="400"/>
      <c r="G41" s="400"/>
      <c r="H41" s="400"/>
      <c r="I41" s="674"/>
    </row>
    <row r="42" spans="1:9" ht="21" customHeight="1">
      <c r="A42" s="694" t="s">
        <v>137</v>
      </c>
      <c r="B42" s="685"/>
      <c r="C42" s="685"/>
      <c r="D42" s="77" t="s">
        <v>1388</v>
      </c>
      <c r="E42" s="685" t="s">
        <v>1377</v>
      </c>
      <c r="F42" s="685"/>
      <c r="G42" s="685" t="s">
        <v>1389</v>
      </c>
      <c r="H42" s="691"/>
      <c r="I42" s="695"/>
    </row>
    <row r="43" spans="1:9" ht="44.25" customHeight="1">
      <c r="A43" s="696" t="str">
        <f>+IF(FORMULARIO!I40&gt;=1,CONCATENATE(FORMULARIO!I36," ",FORMULARIO!I37," ",FORMULARIO!I38),"N/A")</f>
        <v>N/A</v>
      </c>
      <c r="B43" s="675"/>
      <c r="C43" s="675"/>
      <c r="D43" s="149" t="str">
        <f>+IF(FORMULARIO!I40&gt;=1,FORMULARIO!I39,"N/A")</f>
        <v>N/A</v>
      </c>
      <c r="E43" s="675" t="str">
        <f>+IF(A43="N/A","N/A",FORMULARIO!I40)</f>
        <v>N/A</v>
      </c>
      <c r="F43" s="675"/>
      <c r="G43" s="697" t="str">
        <f>+IF(FORMULARIO!I40&gt;=1,(CONCATENATE(FORMULARIO!I44,","," ",FORMULARIO!I45,","," ",FORMULARIO!I46,","," ",FORMULARIO!I43,","," ",FORMULARIO!I41)),"N/A")</f>
        <v>N/A</v>
      </c>
      <c r="H43" s="698"/>
      <c r="I43" s="699"/>
    </row>
    <row r="44" spans="1:9" ht="21" customHeight="1">
      <c r="A44" s="673" t="s">
        <v>173</v>
      </c>
      <c r="B44" s="400"/>
      <c r="C44" s="400"/>
      <c r="D44" s="400"/>
      <c r="E44" s="400"/>
      <c r="F44" s="400"/>
      <c r="G44" s="400"/>
      <c r="H44" s="400"/>
      <c r="I44" s="674"/>
    </row>
    <row r="45" spans="1:9" ht="21" customHeight="1">
      <c r="A45" s="138" t="s">
        <v>1368</v>
      </c>
      <c r="B45" s="77" t="s">
        <v>198</v>
      </c>
      <c r="C45" s="77" t="s">
        <v>199</v>
      </c>
      <c r="D45" s="77" t="s">
        <v>200</v>
      </c>
      <c r="E45" s="691" t="s">
        <v>1391</v>
      </c>
      <c r="F45" s="692"/>
      <c r="G45" s="77" t="s">
        <v>1392</v>
      </c>
      <c r="H45" s="145" t="s">
        <v>1401</v>
      </c>
      <c r="I45" s="95" t="s">
        <v>1390</v>
      </c>
    </row>
    <row r="46" spans="1:9" ht="21" customHeight="1">
      <c r="A46" s="138">
        <v>1</v>
      </c>
      <c r="B46" s="149">
        <f>+FORMULARIO!I48</f>
        <v>0</v>
      </c>
      <c r="C46" s="149">
        <f>+FORMULARIO!I49</f>
        <v>0</v>
      </c>
      <c r="D46" s="149">
        <f>+FORMULARIO!I50</f>
        <v>0</v>
      </c>
      <c r="E46" s="693">
        <f>+FORMULARIO!I51</f>
        <v>0</v>
      </c>
      <c r="F46" s="675"/>
      <c r="G46" s="164">
        <f>+FORMULARIO!I52</f>
        <v>0</v>
      </c>
      <c r="H46" s="161">
        <f>+FORMULARIO!I53</f>
        <v>0</v>
      </c>
      <c r="I46" s="162">
        <f>+FORMULARIO!I54</f>
        <v>0</v>
      </c>
    </row>
    <row r="47" spans="1:9" ht="21" customHeight="1">
      <c r="A47" s="138">
        <v>2</v>
      </c>
      <c r="B47" s="149">
        <f>+FORMULARIO!J48</f>
        <v>0</v>
      </c>
      <c r="C47" s="149">
        <f>+FORMULARIO!J49</f>
        <v>0</v>
      </c>
      <c r="D47" s="149">
        <f>+FORMULARIO!J50</f>
        <v>0</v>
      </c>
      <c r="E47" s="693">
        <f>+FORMULARIO!J51</f>
        <v>0</v>
      </c>
      <c r="F47" s="675"/>
      <c r="G47" s="160">
        <f>+FORMULARIO!J52</f>
        <v>0</v>
      </c>
      <c r="H47" s="161">
        <f>+FORMULARIO!J53</f>
        <v>0</v>
      </c>
      <c r="I47" s="162">
        <f>+FORMULARIO!J54</f>
        <v>0</v>
      </c>
    </row>
    <row r="48" spans="1:9" ht="21" customHeight="1">
      <c r="A48" s="138">
        <v>3</v>
      </c>
      <c r="B48" s="149">
        <f>+FORMULARIO!K48</f>
        <v>0</v>
      </c>
      <c r="C48" s="149">
        <f>+FORMULARIO!K49</f>
        <v>0</v>
      </c>
      <c r="D48" s="149">
        <f>+FORMULARIO!K50</f>
        <v>0</v>
      </c>
      <c r="E48" s="675">
        <f>+FORMULARIO!K51</f>
        <v>0</v>
      </c>
      <c r="F48" s="675"/>
      <c r="G48" s="159">
        <f>+FORMULARIO!K52</f>
        <v>0</v>
      </c>
      <c r="H48" s="163">
        <f>+FORMULARIO!K53</f>
        <v>0</v>
      </c>
      <c r="I48" s="120">
        <f>+FORMULARIO!K54</f>
        <v>0</v>
      </c>
    </row>
    <row r="49" spans="1:9" ht="21" customHeight="1">
      <c r="A49" s="673" t="s">
        <v>141</v>
      </c>
      <c r="B49" s="400"/>
      <c r="C49" s="400"/>
      <c r="D49" s="400"/>
      <c r="E49" s="400"/>
      <c r="F49" s="400"/>
      <c r="G49" s="400"/>
      <c r="H49" s="400"/>
      <c r="I49" s="674"/>
    </row>
    <row r="50" spans="1:9" ht="15.75" customHeight="1">
      <c r="A50" s="665" t="s">
        <v>142</v>
      </c>
      <c r="B50" s="666"/>
      <c r="C50" s="667"/>
      <c r="D50" s="668"/>
      <c r="E50" s="669" t="s">
        <v>143</v>
      </c>
      <c r="F50" s="666"/>
      <c r="G50" s="667"/>
      <c r="H50" s="667"/>
      <c r="I50" s="670"/>
    </row>
    <row r="51" spans="1:9" ht="43.5" customHeight="1">
      <c r="A51" s="671"/>
      <c r="B51" s="672"/>
      <c r="C51" s="672"/>
      <c r="D51" s="672"/>
      <c r="E51" s="727">
        <f>+FORMULARIO!C11</f>
        <v>0</v>
      </c>
      <c r="F51" s="728"/>
      <c r="G51" s="133" t="str">
        <f>+FORMULARIO!C12</f>
        <v/>
      </c>
      <c r="H51" s="729">
        <f>+FORMULARIO!C13</f>
        <v>0</v>
      </c>
      <c r="I51" s="730"/>
    </row>
    <row r="52" spans="1:9" ht="21" customHeight="1">
      <c r="A52" s="673" t="s">
        <v>144</v>
      </c>
      <c r="B52" s="400"/>
      <c r="C52" s="400"/>
      <c r="D52" s="400"/>
      <c r="E52" s="400"/>
      <c r="F52" s="400"/>
      <c r="G52" s="400"/>
      <c r="H52" s="400"/>
      <c r="I52" s="674"/>
    </row>
    <row r="53" spans="1:9" ht="21" customHeight="1">
      <c r="A53" s="663" t="s">
        <v>145</v>
      </c>
      <c r="B53" s="445"/>
      <c r="C53" s="445"/>
      <c r="D53" s="446"/>
      <c r="E53" s="444" t="s">
        <v>146</v>
      </c>
      <c r="F53" s="446"/>
      <c r="G53" s="444" t="s">
        <v>147</v>
      </c>
      <c r="H53" s="445"/>
      <c r="I53" s="664"/>
    </row>
    <row r="54" spans="1:9" ht="43.5" customHeight="1">
      <c r="A54" s="655">
        <f>+FORMULARIO!C15</f>
        <v>0</v>
      </c>
      <c r="B54" s="656"/>
      <c r="C54" s="656"/>
      <c r="D54" s="657"/>
      <c r="E54" s="658">
        <f>+FORMULARIO!C13</f>
        <v>0</v>
      </c>
      <c r="F54" s="659"/>
      <c r="G54" s="660"/>
      <c r="H54" s="661"/>
      <c r="I54" s="662"/>
    </row>
    <row r="55" spans="1:9" ht="21" customHeight="1">
      <c r="A55" s="663" t="s">
        <v>148</v>
      </c>
      <c r="B55" s="445"/>
      <c r="C55" s="445"/>
      <c r="D55" s="446"/>
      <c r="E55" s="444" t="s">
        <v>149</v>
      </c>
      <c r="F55" s="446"/>
      <c r="G55" s="444" t="s">
        <v>147</v>
      </c>
      <c r="H55" s="445"/>
      <c r="I55" s="664"/>
    </row>
    <row r="56" spans="1:9" ht="43.5" customHeight="1" thickBot="1">
      <c r="A56" s="676" t="str">
        <f>+FORMULARIO!C16</f>
        <v/>
      </c>
      <c r="B56" s="677"/>
      <c r="C56" s="677"/>
      <c r="D56" s="678"/>
      <c r="E56" s="679"/>
      <c r="F56" s="680"/>
      <c r="G56" s="679"/>
      <c r="H56" s="681"/>
      <c r="I56" s="682"/>
    </row>
    <row r="58" spans="1:9" ht="73.5" customHeight="1">
      <c r="A58" s="683" t="s">
        <v>1393</v>
      </c>
      <c r="B58" s="683"/>
      <c r="C58" s="683"/>
      <c r="D58" s="683"/>
      <c r="E58" s="683"/>
      <c r="F58" s="683"/>
      <c r="G58" s="683"/>
      <c r="H58" s="683"/>
      <c r="I58" s="683"/>
    </row>
  </sheetData>
  <mergeCells count="100">
    <mergeCell ref="C9:D9"/>
    <mergeCell ref="A36:D36"/>
    <mergeCell ref="A37:D37"/>
    <mergeCell ref="E51:F51"/>
    <mergeCell ref="H51:I51"/>
    <mergeCell ref="C10:D10"/>
    <mergeCell ref="G10:I10"/>
    <mergeCell ref="C11:D11"/>
    <mergeCell ref="E11:F13"/>
    <mergeCell ref="G11:I13"/>
    <mergeCell ref="C12:D12"/>
    <mergeCell ref="C13:D13"/>
    <mergeCell ref="H21:I21"/>
    <mergeCell ref="H22:I22"/>
    <mergeCell ref="H23:I23"/>
    <mergeCell ref="H24:I24"/>
    <mergeCell ref="A5:I5"/>
    <mergeCell ref="E6:F6"/>
    <mergeCell ref="E7:I7"/>
    <mergeCell ref="C8:D8"/>
    <mergeCell ref="G8:I8"/>
    <mergeCell ref="H6:I6"/>
    <mergeCell ref="E14:F14"/>
    <mergeCell ref="A15:I15"/>
    <mergeCell ref="C16:D16"/>
    <mergeCell ref="G16:I16"/>
    <mergeCell ref="C17:D17"/>
    <mergeCell ref="E17:F18"/>
    <mergeCell ref="G17:I18"/>
    <mergeCell ref="C18:D18"/>
    <mergeCell ref="H14:I14"/>
    <mergeCell ref="E37:F37"/>
    <mergeCell ref="H36:I36"/>
    <mergeCell ref="H37:I37"/>
    <mergeCell ref="H25:I25"/>
    <mergeCell ref="E31:G31"/>
    <mergeCell ref="H31:I31"/>
    <mergeCell ref="E25:G25"/>
    <mergeCell ref="A35:I35"/>
    <mergeCell ref="E36:F36"/>
    <mergeCell ref="A32:I32"/>
    <mergeCell ref="A33:C33"/>
    <mergeCell ref="D33:E33"/>
    <mergeCell ref="F33:G33"/>
    <mergeCell ref="A34:C34"/>
    <mergeCell ref="D34:E34"/>
    <mergeCell ref="F34:G34"/>
    <mergeCell ref="A38:I38"/>
    <mergeCell ref="A39:B39"/>
    <mergeCell ref="C39:D39"/>
    <mergeCell ref="E39:I39"/>
    <mergeCell ref="A40:B40"/>
    <mergeCell ref="C40:D40"/>
    <mergeCell ref="E40:I40"/>
    <mergeCell ref="A41:I41"/>
    <mergeCell ref="A42:C42"/>
    <mergeCell ref="E42:F42"/>
    <mergeCell ref="G42:I42"/>
    <mergeCell ref="A43:C43"/>
    <mergeCell ref="E43:F43"/>
    <mergeCell ref="G43:I43"/>
    <mergeCell ref="G53:I53"/>
    <mergeCell ref="A44:I44"/>
    <mergeCell ref="E45:F45"/>
    <mergeCell ref="E46:F46"/>
    <mergeCell ref="E47:F47"/>
    <mergeCell ref="E48:F48"/>
    <mergeCell ref="A49:I49"/>
    <mergeCell ref="A56:D56"/>
    <mergeCell ref="E56:F56"/>
    <mergeCell ref="G56:I56"/>
    <mergeCell ref="A58:I58"/>
    <mergeCell ref="E19:F19"/>
    <mergeCell ref="A20:I20"/>
    <mergeCell ref="E21:G21"/>
    <mergeCell ref="E22:G22"/>
    <mergeCell ref="E23:G23"/>
    <mergeCell ref="H27:I27"/>
    <mergeCell ref="H28:I28"/>
    <mergeCell ref="H29:I29"/>
    <mergeCell ref="H30:I30"/>
    <mergeCell ref="A26:I26"/>
    <mergeCell ref="E27:G27"/>
    <mergeCell ref="E28:G28"/>
    <mergeCell ref="F9:I9"/>
    <mergeCell ref="A54:D54"/>
    <mergeCell ref="E54:F54"/>
    <mergeCell ref="G54:I54"/>
    <mergeCell ref="A55:D55"/>
    <mergeCell ref="E55:F55"/>
    <mergeCell ref="G55:I55"/>
    <mergeCell ref="A50:D50"/>
    <mergeCell ref="E50:I50"/>
    <mergeCell ref="A51:D51"/>
    <mergeCell ref="A52:I52"/>
    <mergeCell ref="E24:G24"/>
    <mergeCell ref="E29:G29"/>
    <mergeCell ref="E30:G30"/>
    <mergeCell ref="A53:D53"/>
    <mergeCell ref="E53:F53"/>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9AB11-BFBF-42B3-8301-1D73127D04C1}">
  <sheetPr codeName="Hoja23">
    <tabColor theme="5" tint="-0.249977111117893"/>
    <pageSetUpPr fitToPage="1"/>
  </sheetPr>
  <dimension ref="A1:H31"/>
  <sheetViews>
    <sheetView showZeros="0" zoomScale="70" zoomScaleNormal="70" workbookViewId="0">
      <selection activeCell="A18" sqref="A18"/>
    </sheetView>
  </sheetViews>
  <sheetFormatPr baseColWidth="10" defaultColWidth="11.42578125" defaultRowHeight="15"/>
  <cols>
    <col min="1" max="1" width="36.140625" customWidth="1" collapsed="1"/>
    <col min="2" max="2" width="17.140625" customWidth="1" collapsed="1"/>
    <col min="3" max="3" width="12.28515625" customWidth="1"/>
    <col min="4" max="4" width="10.7109375" customWidth="1" collapsed="1"/>
    <col min="5" max="5" width="30.5703125" customWidth="1" collapsed="1"/>
    <col min="6" max="6" width="29.42578125" customWidth="1" collapsed="1"/>
    <col min="7" max="7" width="21.85546875" customWidth="1" collapsed="1"/>
    <col min="8" max="8" width="25" customWidth="1" collapsed="1"/>
  </cols>
  <sheetData>
    <row r="1" spans="1:8" ht="23.25">
      <c r="A1" s="647" t="str">
        <f>+FORMULARIO!A1</f>
        <v>PANAMA CAR RENTAL, S.A.</v>
      </c>
      <c r="B1" s="647"/>
      <c r="C1" s="647"/>
      <c r="D1" s="647"/>
      <c r="E1" s="647"/>
      <c r="F1" s="647"/>
      <c r="G1" s="647"/>
      <c r="H1" s="647"/>
    </row>
    <row r="2" spans="1:8" ht="17.25" customHeight="1">
      <c r="A2" s="648" t="s">
        <v>2288</v>
      </c>
      <c r="B2" s="648"/>
      <c r="C2" s="648"/>
      <c r="D2" s="648"/>
      <c r="E2" s="648"/>
      <c r="F2" s="648"/>
      <c r="G2" s="648"/>
      <c r="H2" s="648"/>
    </row>
    <row r="3" spans="1:8" ht="17.25" customHeight="1">
      <c r="A3" s="273" t="s">
        <v>2289</v>
      </c>
      <c r="B3" s="273"/>
      <c r="C3" s="273"/>
      <c r="D3" s="273"/>
      <c r="E3" s="273"/>
      <c r="F3" s="273"/>
      <c r="G3" s="273"/>
      <c r="H3" s="273"/>
    </row>
    <row r="4" spans="1:8" ht="17.25" customHeight="1">
      <c r="A4" s="648" t="s">
        <v>2290</v>
      </c>
      <c r="B4" s="648"/>
      <c r="C4" s="648"/>
      <c r="D4" s="648"/>
      <c r="E4" s="648"/>
      <c r="F4" s="648"/>
      <c r="G4" s="648"/>
      <c r="H4" s="648"/>
    </row>
    <row r="5" spans="1:8" s="1" customFormat="1" ht="17.25" customHeight="1">
      <c r="A5" s="648" t="s">
        <v>1764</v>
      </c>
      <c r="B5" s="648"/>
      <c r="C5" s="648"/>
      <c r="D5" s="648"/>
      <c r="E5" s="648"/>
      <c r="F5" s="648"/>
      <c r="G5" s="648"/>
      <c r="H5" s="648"/>
    </row>
    <row r="6" spans="1:8" s="1" customFormat="1" ht="17.25" customHeight="1">
      <c r="A6" s="649"/>
      <c r="B6" s="649"/>
      <c r="C6" s="649"/>
      <c r="D6" s="649"/>
      <c r="E6" s="649"/>
      <c r="F6" s="649"/>
      <c r="G6" s="649"/>
      <c r="H6" s="649"/>
    </row>
    <row r="7" spans="1:8" ht="17.25" customHeight="1">
      <c r="A7" s="645" t="s">
        <v>2265</v>
      </c>
      <c r="B7" s="645"/>
      <c r="C7" s="645"/>
      <c r="D7" s="645"/>
      <c r="E7" s="645"/>
      <c r="F7" s="645"/>
      <c r="G7" s="645"/>
      <c r="H7" s="645"/>
    </row>
    <row r="8" spans="1:8" ht="17.25" customHeight="1">
      <c r="A8" s="644"/>
      <c r="B8" s="644"/>
      <c r="C8" s="644"/>
      <c r="D8" s="644"/>
      <c r="E8" s="644"/>
      <c r="F8" s="644"/>
      <c r="G8" s="644"/>
      <c r="H8" s="644"/>
    </row>
    <row r="9" spans="1:8" ht="18.600000000000001" customHeight="1">
      <c r="A9" s="645" t="s">
        <v>2266</v>
      </c>
      <c r="B9" s="645"/>
      <c r="C9" s="645"/>
      <c r="D9" s="645"/>
      <c r="E9" s="645"/>
      <c r="F9" s="645"/>
      <c r="G9" s="645"/>
      <c r="H9" s="645"/>
    </row>
    <row r="10" spans="1:8" ht="18.600000000000001" customHeight="1">
      <c r="A10" s="645" t="s">
        <v>1466</v>
      </c>
      <c r="B10" s="645"/>
      <c r="C10" s="645"/>
      <c r="D10" s="645"/>
      <c r="E10" s="645"/>
      <c r="F10" s="645"/>
      <c r="G10" s="645"/>
      <c r="H10" s="645"/>
    </row>
    <row r="11" spans="1:8" ht="18.600000000000001" customHeight="1">
      <c r="A11" s="645" t="s">
        <v>2278</v>
      </c>
      <c r="B11" s="645"/>
      <c r="C11" s="645"/>
      <c r="D11" s="645"/>
      <c r="E11" s="645"/>
      <c r="F11" s="645"/>
      <c r="G11" s="645"/>
      <c r="H11" s="645"/>
    </row>
    <row r="12" spans="1:8" ht="18.600000000000001" customHeight="1">
      <c r="A12" s="52"/>
      <c r="B12" s="52"/>
      <c r="C12" s="52"/>
      <c r="D12" s="52"/>
      <c r="E12" s="52"/>
      <c r="F12" s="52"/>
      <c r="G12" s="52"/>
      <c r="H12" s="52"/>
    </row>
    <row r="13" spans="1:8" ht="18.600000000000001" customHeight="1">
      <c r="A13" s="644"/>
      <c r="B13" s="644"/>
      <c r="C13" s="644"/>
      <c r="D13" s="644"/>
      <c r="E13" s="644"/>
      <c r="F13" s="644"/>
      <c r="G13" s="644"/>
      <c r="H13" s="644"/>
    </row>
    <row r="14" spans="1:8" ht="18.600000000000001" customHeight="1">
      <c r="A14" s="645" t="s">
        <v>2277</v>
      </c>
      <c r="B14" s="645"/>
      <c r="C14" s="645"/>
      <c r="D14" s="645"/>
      <c r="E14" s="645"/>
      <c r="F14" s="645"/>
      <c r="G14" s="645"/>
      <c r="H14" s="645"/>
    </row>
    <row r="15" spans="1:8" ht="18.600000000000001" customHeight="1">
      <c r="A15" s="52"/>
      <c r="B15" s="52"/>
      <c r="C15" s="52"/>
      <c r="D15" s="52"/>
      <c r="E15" s="52"/>
      <c r="F15" s="52"/>
      <c r="G15" s="52"/>
      <c r="H15" s="52"/>
    </row>
    <row r="16" spans="1:8" ht="23.25" customHeight="1">
      <c r="A16" s="279" t="s">
        <v>2336</v>
      </c>
      <c r="B16" s="646" t="str">
        <f>CONCATENATE('CTC Pers. Natural'!B10," ",'CTC Pers. Natural'!F10," ",'CTC Pers. Natural'!H10," ",'CTC Pers. Natural'!B11)</f>
        <v xml:space="preserve">   </v>
      </c>
      <c r="C16" s="646"/>
      <c r="D16" s="646"/>
      <c r="E16" s="646"/>
      <c r="F16" s="646"/>
      <c r="G16" s="644" t="s">
        <v>2370</v>
      </c>
      <c r="H16" s="644"/>
    </row>
    <row r="17" spans="1:8" ht="23.25" customHeight="1">
      <c r="A17" s="280">
        <f>+'CTC Pers. Natural'!B13</f>
        <v>0</v>
      </c>
      <c r="B17" s="743" t="s">
        <v>2362</v>
      </c>
      <c r="C17" s="743"/>
      <c r="D17" s="743"/>
      <c r="E17" s="281">
        <f>+'CTC Pers. Natural'!B14</f>
        <v>0</v>
      </c>
      <c r="F17" s="644" t="s">
        <v>2371</v>
      </c>
      <c r="G17" s="644"/>
      <c r="H17" s="644"/>
    </row>
    <row r="18" spans="1:8" ht="23.25" customHeight="1">
      <c r="A18" s="284">
        <f>+'PORTADA FILE VENTAS'!C6</f>
        <v>0</v>
      </c>
      <c r="B18" s="279" t="s">
        <v>2349</v>
      </c>
      <c r="C18" s="744">
        <f>+'PORTADA FILE VENTAS'!C9</f>
        <v>0</v>
      </c>
      <c r="D18" s="744"/>
      <c r="E18" s="279" t="s">
        <v>2350</v>
      </c>
      <c r="F18" s="280">
        <f>+'PORTADA FILE VENTAS'!C8</f>
        <v>0</v>
      </c>
      <c r="G18" s="279" t="s">
        <v>2372</v>
      </c>
      <c r="H18" s="280">
        <f>+'PORTADA FILE VENTAS'!C9</f>
        <v>0</v>
      </c>
    </row>
    <row r="19" spans="1:8" ht="24" customHeight="1">
      <c r="A19" s="645" t="s">
        <v>2373</v>
      </c>
      <c r="B19" s="645"/>
      <c r="C19" s="645"/>
      <c r="D19" s="645"/>
      <c r="E19" s="645"/>
      <c r="F19" s="645"/>
      <c r="G19" s="646"/>
      <c r="H19" s="646"/>
    </row>
    <row r="20" spans="1:8" ht="23.25" customHeight="1">
      <c r="A20" s="282"/>
      <c r="B20" s="637" t="s">
        <v>2361</v>
      </c>
      <c r="C20" s="637"/>
      <c r="D20" s="638"/>
      <c r="E20" s="638"/>
      <c r="F20" s="637" t="s">
        <v>2362</v>
      </c>
      <c r="G20" s="637"/>
      <c r="H20" s="288"/>
    </row>
    <row r="21" spans="1:8" ht="23.25" customHeight="1">
      <c r="A21" s="641" t="s">
        <v>2374</v>
      </c>
      <c r="B21" s="641"/>
      <c r="C21" s="641"/>
      <c r="D21" s="745" t="s">
        <v>2355</v>
      </c>
      <c r="E21" s="745"/>
      <c r="F21" s="637"/>
      <c r="G21" s="637"/>
      <c r="H21" s="637"/>
    </row>
    <row r="22" spans="1:8" ht="23.25" customHeight="1">
      <c r="A22" s="641"/>
      <c r="B22" s="641"/>
      <c r="C22" s="637"/>
      <c r="D22" s="637"/>
      <c r="E22" s="637"/>
      <c r="F22" s="637"/>
      <c r="G22" s="637"/>
      <c r="H22" s="637"/>
    </row>
    <row r="23" spans="1:8" ht="29.25" customHeight="1">
      <c r="A23" s="271" t="s">
        <v>23</v>
      </c>
      <c r="B23" s="271"/>
      <c r="C23" s="637"/>
      <c r="D23" s="637"/>
      <c r="E23" s="637"/>
      <c r="F23" s="637"/>
      <c r="G23" s="637"/>
      <c r="H23" s="637"/>
    </row>
    <row r="24" spans="1:8" ht="69.75" customHeight="1">
      <c r="A24" s="637"/>
      <c r="B24" s="637"/>
      <c r="C24" s="637"/>
      <c r="D24" s="637"/>
      <c r="E24" s="642" t="s">
        <v>2276</v>
      </c>
      <c r="F24" s="642"/>
      <c r="G24" s="637"/>
      <c r="H24" s="637"/>
    </row>
    <row r="25" spans="1:8" ht="15" customHeight="1">
      <c r="A25" s="637"/>
      <c r="B25" s="637"/>
      <c r="C25" s="637"/>
      <c r="D25" s="637"/>
      <c r="E25" s="637"/>
      <c r="F25" s="637"/>
      <c r="G25" s="637"/>
      <c r="H25" s="637"/>
    </row>
    <row r="26" spans="1:8" ht="19.5" customHeight="1">
      <c r="A26" s="271" t="s">
        <v>2274</v>
      </c>
      <c r="B26" s="638"/>
      <c r="C26" s="638"/>
      <c r="D26" s="638"/>
      <c r="E26" s="638"/>
      <c r="F26" s="637"/>
      <c r="G26" s="637"/>
      <c r="H26" s="637"/>
    </row>
    <row r="27" spans="1:8" ht="19.5" customHeight="1">
      <c r="A27" s="271" t="s">
        <v>2275</v>
      </c>
      <c r="B27" s="638"/>
      <c r="C27" s="638"/>
      <c r="D27" s="264"/>
      <c r="E27" s="264"/>
      <c r="F27" s="637"/>
      <c r="G27" s="637"/>
      <c r="H27" s="637"/>
    </row>
    <row r="28" spans="1:8" ht="19.5" customHeight="1">
      <c r="A28" s="637"/>
      <c r="B28" s="637"/>
      <c r="C28" s="637"/>
      <c r="D28" s="637"/>
      <c r="E28" s="637"/>
      <c r="F28" s="637"/>
      <c r="G28" s="637"/>
      <c r="H28" s="637"/>
    </row>
    <row r="29" spans="1:8" ht="21">
      <c r="A29" s="639" t="s">
        <v>2217</v>
      </c>
      <c r="B29" s="639"/>
      <c r="C29" s="639"/>
      <c r="D29" s="639"/>
      <c r="E29" s="639"/>
      <c r="F29" s="639"/>
      <c r="G29" s="639"/>
      <c r="H29" s="639"/>
    </row>
    <row r="30" spans="1:8" ht="84.75" customHeight="1">
      <c r="A30" s="640" t="s">
        <v>2218</v>
      </c>
      <c r="B30" s="640"/>
      <c r="C30" s="640"/>
      <c r="D30" s="640"/>
      <c r="E30" s="640"/>
      <c r="F30" s="640"/>
      <c r="G30" s="640"/>
      <c r="H30" s="640"/>
    </row>
    <row r="31" spans="1:8" ht="55.5" customHeight="1">
      <c r="A31" s="636" t="s">
        <v>2202</v>
      </c>
      <c r="B31" s="636"/>
      <c r="C31" s="636"/>
      <c r="D31" s="636"/>
      <c r="E31" s="636"/>
      <c r="F31" s="636"/>
      <c r="G31" s="636"/>
      <c r="H31" s="636"/>
    </row>
  </sheetData>
  <mergeCells count="41">
    <mergeCell ref="A14:H14"/>
    <mergeCell ref="A1:H1"/>
    <mergeCell ref="A2:H2"/>
    <mergeCell ref="A4:H4"/>
    <mergeCell ref="A5:H5"/>
    <mergeCell ref="A6:H6"/>
    <mergeCell ref="A7:H7"/>
    <mergeCell ref="A8:H8"/>
    <mergeCell ref="A9:H9"/>
    <mergeCell ref="A10:H10"/>
    <mergeCell ref="A11:H11"/>
    <mergeCell ref="A13:H13"/>
    <mergeCell ref="A21:C21"/>
    <mergeCell ref="D21:E21"/>
    <mergeCell ref="F21:H21"/>
    <mergeCell ref="B16:F16"/>
    <mergeCell ref="G16:H16"/>
    <mergeCell ref="F17:H17"/>
    <mergeCell ref="E22:H22"/>
    <mergeCell ref="C23:D23"/>
    <mergeCell ref="E23:H23"/>
    <mergeCell ref="A24:D25"/>
    <mergeCell ref="E24:F24"/>
    <mergeCell ref="G24:H24"/>
    <mergeCell ref="E25:H25"/>
    <mergeCell ref="A31:H31"/>
    <mergeCell ref="B17:D17"/>
    <mergeCell ref="C18:D18"/>
    <mergeCell ref="A19:F19"/>
    <mergeCell ref="G19:H19"/>
    <mergeCell ref="B20:C20"/>
    <mergeCell ref="D20:E20"/>
    <mergeCell ref="F20:G20"/>
    <mergeCell ref="B26:E26"/>
    <mergeCell ref="F26:H28"/>
    <mergeCell ref="B27:C27"/>
    <mergeCell ref="A28:E28"/>
    <mergeCell ref="A29:H29"/>
    <mergeCell ref="A30:H30"/>
    <mergeCell ref="A22:B22"/>
    <mergeCell ref="C22:D22"/>
  </mergeCells>
  <printOptions horizontalCentered="1" verticalCentered="1"/>
  <pageMargins left="0.7" right="0.7" top="0.75" bottom="0.75" header="0.3" footer="0.3"/>
  <pageSetup scale="4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B5AA4F8-E14D-4318-8EFA-E11BA9298DF1}">
          <x14:formula1>
            <xm:f>CATÁLOGO!$H$10:$H$18</xm:f>
          </x14:formula1>
          <xm:sqref>C22:D22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1EF3C-FD59-4B5B-A914-9C5490A333AA}">
  <sheetPr codeName="Hoja24">
    <tabColor theme="5" tint="-0.249977111117893"/>
    <pageSetUpPr fitToPage="1"/>
  </sheetPr>
  <dimension ref="A1:H30"/>
  <sheetViews>
    <sheetView showZeros="0" zoomScale="70" zoomScaleNormal="70" workbookViewId="0">
      <selection activeCell="G23" sqref="G23:H23"/>
    </sheetView>
  </sheetViews>
  <sheetFormatPr baseColWidth="10" defaultColWidth="11.42578125" defaultRowHeight="15"/>
  <cols>
    <col min="1" max="1" width="40.42578125" customWidth="1" collapsed="1"/>
    <col min="2" max="2" width="17.140625" customWidth="1" collapsed="1"/>
    <col min="3" max="3" width="12.28515625" customWidth="1"/>
    <col min="4" max="4" width="10.7109375" customWidth="1" collapsed="1"/>
    <col min="5" max="5" width="30.5703125" customWidth="1" collapsed="1"/>
    <col min="6" max="6" width="30.7109375" customWidth="1" collapsed="1"/>
    <col min="7" max="7" width="21.85546875" customWidth="1" collapsed="1"/>
    <col min="8" max="8" width="25" customWidth="1" collapsed="1"/>
  </cols>
  <sheetData>
    <row r="1" spans="1:8" ht="23.25">
      <c r="A1" s="647" t="str">
        <f>+FORMULARIO!A1</f>
        <v>PANAMA CAR RENTAL, S.A.</v>
      </c>
      <c r="B1" s="647"/>
      <c r="C1" s="647"/>
      <c r="D1" s="647"/>
      <c r="E1" s="647"/>
      <c r="F1" s="647"/>
      <c r="G1" s="647"/>
      <c r="H1" s="647"/>
    </row>
    <row r="2" spans="1:8" ht="17.25" customHeight="1">
      <c r="A2" s="648" t="s">
        <v>2288</v>
      </c>
      <c r="B2" s="648"/>
      <c r="C2" s="648"/>
      <c r="D2" s="648"/>
      <c r="E2" s="648"/>
      <c r="F2" s="648"/>
      <c r="G2" s="648"/>
      <c r="H2" s="648"/>
    </row>
    <row r="3" spans="1:8" ht="17.25" customHeight="1">
      <c r="A3" s="273" t="s">
        <v>2291</v>
      </c>
      <c r="B3" s="273"/>
      <c r="C3" s="273"/>
      <c r="D3" s="273"/>
      <c r="E3" s="273"/>
      <c r="F3" s="273"/>
      <c r="G3" s="273"/>
      <c r="H3" s="273"/>
    </row>
    <row r="4" spans="1:8" ht="17.25" customHeight="1">
      <c r="A4" s="648" t="s">
        <v>2292</v>
      </c>
      <c r="B4" s="648"/>
      <c r="C4" s="648"/>
      <c r="D4" s="648"/>
      <c r="E4" s="648"/>
      <c r="F4" s="648"/>
      <c r="G4" s="648"/>
      <c r="H4" s="648"/>
    </row>
    <row r="5" spans="1:8" s="1" customFormat="1" ht="17.25" customHeight="1">
      <c r="A5" s="648" t="s">
        <v>1764</v>
      </c>
      <c r="B5" s="648"/>
      <c r="C5" s="648"/>
      <c r="D5" s="648"/>
      <c r="E5" s="648"/>
      <c r="F5" s="648"/>
      <c r="G5" s="648"/>
      <c r="H5" s="648"/>
    </row>
    <row r="6" spans="1:8" s="1" customFormat="1" ht="17.25" customHeight="1">
      <c r="A6" s="649"/>
      <c r="B6" s="649"/>
      <c r="C6" s="649"/>
      <c r="D6" s="649"/>
      <c r="E6" s="649"/>
      <c r="F6" s="649"/>
      <c r="G6" s="649"/>
      <c r="H6" s="649"/>
    </row>
    <row r="7" spans="1:8" ht="17.25" customHeight="1">
      <c r="A7" s="645" t="s">
        <v>2265</v>
      </c>
      <c r="B7" s="645"/>
      <c r="C7" s="645"/>
      <c r="D7" s="645"/>
      <c r="E7" s="645"/>
      <c r="F7" s="645"/>
      <c r="G7" s="645"/>
      <c r="H7" s="645"/>
    </row>
    <row r="8" spans="1:8" ht="17.25" customHeight="1">
      <c r="A8" s="644"/>
      <c r="B8" s="644"/>
      <c r="C8" s="644"/>
      <c r="D8" s="644"/>
      <c r="E8" s="644"/>
      <c r="F8" s="644"/>
      <c r="G8" s="644"/>
      <c r="H8" s="644"/>
    </row>
    <row r="9" spans="1:8" ht="18.600000000000001" customHeight="1">
      <c r="A9" s="645" t="s">
        <v>2266</v>
      </c>
      <c r="B9" s="645"/>
      <c r="C9" s="645"/>
      <c r="D9" s="645"/>
      <c r="E9" s="645"/>
      <c r="F9" s="645"/>
      <c r="G9" s="645"/>
      <c r="H9" s="645"/>
    </row>
    <row r="10" spans="1:8" ht="18.600000000000001" customHeight="1">
      <c r="A10" s="645" t="s">
        <v>1466</v>
      </c>
      <c r="B10" s="645"/>
      <c r="C10" s="645"/>
      <c r="D10" s="645"/>
      <c r="E10" s="645"/>
      <c r="F10" s="645"/>
      <c r="G10" s="645"/>
      <c r="H10" s="645"/>
    </row>
    <row r="11" spans="1:8" ht="18.600000000000001" customHeight="1">
      <c r="A11" s="645" t="s">
        <v>2278</v>
      </c>
      <c r="B11" s="645"/>
      <c r="C11" s="645"/>
      <c r="D11" s="645"/>
      <c r="E11" s="645"/>
      <c r="F11" s="645"/>
      <c r="G11" s="645"/>
      <c r="H11" s="645"/>
    </row>
    <row r="12" spans="1:8" ht="18.600000000000001" customHeight="1">
      <c r="A12" s="52"/>
      <c r="B12" s="52"/>
      <c r="C12" s="52"/>
      <c r="D12" s="52"/>
      <c r="E12" s="52"/>
      <c r="F12" s="52"/>
      <c r="G12" s="52"/>
      <c r="H12" s="52"/>
    </row>
    <row r="13" spans="1:8" ht="18.600000000000001" customHeight="1">
      <c r="A13" s="644"/>
      <c r="B13" s="644"/>
      <c r="C13" s="644"/>
      <c r="D13" s="644"/>
      <c r="E13" s="644"/>
      <c r="F13" s="644"/>
      <c r="G13" s="644"/>
      <c r="H13" s="644"/>
    </row>
    <row r="14" spans="1:8" ht="18.600000000000001" customHeight="1">
      <c r="A14" s="645" t="s">
        <v>2277</v>
      </c>
      <c r="B14" s="645"/>
      <c r="C14" s="645"/>
      <c r="D14" s="645"/>
      <c r="E14" s="645"/>
      <c r="F14" s="645"/>
      <c r="G14" s="645"/>
      <c r="H14" s="645"/>
    </row>
    <row r="15" spans="1:8" ht="18.600000000000001" customHeight="1">
      <c r="A15" s="52"/>
      <c r="B15" s="52"/>
      <c r="C15" s="52"/>
      <c r="D15" s="52"/>
      <c r="E15" s="52"/>
      <c r="F15" s="52"/>
      <c r="G15" s="52"/>
      <c r="H15" s="52"/>
    </row>
    <row r="16" spans="1:8" ht="23.25" customHeight="1">
      <c r="A16" s="279" t="s">
        <v>2336</v>
      </c>
      <c r="B16" s="646" t="str">
        <f>CONCATENATE('CTC Pers. Natural'!B10," ",'CTC Pers. Natural'!F10," ",'CTC Pers. Natural'!H10," ",'CTC Pers. Natural'!B11)</f>
        <v xml:space="preserve">   </v>
      </c>
      <c r="C16" s="646"/>
      <c r="D16" s="646"/>
      <c r="E16" s="646"/>
      <c r="F16" s="646"/>
      <c r="G16" s="644" t="s">
        <v>2370</v>
      </c>
      <c r="H16" s="644"/>
    </row>
    <row r="17" spans="1:8" ht="23.25" customHeight="1">
      <c r="A17" s="280">
        <f>+'CTC Pers. Natural'!B13</f>
        <v>0</v>
      </c>
      <c r="B17" s="743" t="s">
        <v>2362</v>
      </c>
      <c r="C17" s="743"/>
      <c r="D17" s="743"/>
      <c r="E17" s="281">
        <f>+'CTC Pers. Natural'!B14</f>
        <v>0</v>
      </c>
      <c r="F17" s="644" t="s">
        <v>2371</v>
      </c>
      <c r="G17" s="644"/>
      <c r="H17" s="644"/>
    </row>
    <row r="18" spans="1:8" ht="23.25" customHeight="1">
      <c r="A18" s="284">
        <f>+'PORTADA FILE VENTAS'!C6</f>
        <v>0</v>
      </c>
      <c r="B18" s="279" t="s">
        <v>2349</v>
      </c>
      <c r="C18" s="744">
        <f>+'PORTADA FILE VENTAS'!C7</f>
        <v>0</v>
      </c>
      <c r="D18" s="744"/>
      <c r="E18" s="279" t="s">
        <v>2350</v>
      </c>
      <c r="F18" s="280">
        <f>+'PORTADA FILE VENTAS'!C8</f>
        <v>0</v>
      </c>
      <c r="G18" s="279" t="s">
        <v>2372</v>
      </c>
      <c r="H18" s="280">
        <f>+'PORTADA FILE VENTAS'!C9</f>
        <v>0</v>
      </c>
    </row>
    <row r="19" spans="1:8" ht="24" customHeight="1">
      <c r="A19" s="645" t="s">
        <v>2375</v>
      </c>
      <c r="B19" s="645"/>
      <c r="C19" s="645"/>
      <c r="D19" s="645"/>
      <c r="E19" s="645"/>
      <c r="F19" s="645"/>
      <c r="G19" s="646"/>
      <c r="H19" s="644"/>
    </row>
    <row r="20" spans="1:8" ht="23.25" customHeight="1">
      <c r="A20" s="282"/>
      <c r="B20" s="637" t="s">
        <v>2376</v>
      </c>
      <c r="C20" s="637"/>
      <c r="D20" s="637"/>
      <c r="E20" s="282"/>
      <c r="F20" s="637" t="s">
        <v>2377</v>
      </c>
      <c r="G20" s="637"/>
      <c r="H20" s="264"/>
    </row>
    <row r="21" spans="1:8" ht="23.25" customHeight="1">
      <c r="A21" s="641"/>
      <c r="B21" s="641"/>
      <c r="C21" s="637"/>
      <c r="D21" s="637"/>
      <c r="E21" s="637"/>
      <c r="F21" s="637"/>
      <c r="G21" s="637"/>
      <c r="H21" s="637"/>
    </row>
    <row r="22" spans="1:8" ht="29.25" customHeight="1">
      <c r="A22" s="271" t="s">
        <v>23</v>
      </c>
      <c r="B22" s="271"/>
      <c r="C22" s="637"/>
      <c r="D22" s="637"/>
      <c r="E22" s="637"/>
      <c r="F22" s="637"/>
      <c r="G22" s="637"/>
      <c r="H22" s="637"/>
    </row>
    <row r="23" spans="1:8" ht="69.75" customHeight="1">
      <c r="A23" s="637"/>
      <c r="B23" s="637"/>
      <c r="C23" s="637"/>
      <c r="D23" s="637"/>
      <c r="E23" s="642" t="s">
        <v>2276</v>
      </c>
      <c r="F23" s="642"/>
      <c r="G23" s="637"/>
      <c r="H23" s="637"/>
    </row>
    <row r="24" spans="1:8" ht="15" customHeight="1">
      <c r="A24" s="637"/>
      <c r="B24" s="637"/>
      <c r="C24" s="637"/>
      <c r="D24" s="637"/>
      <c r="E24" s="637"/>
      <c r="F24" s="637"/>
      <c r="G24" s="637"/>
      <c r="H24" s="637"/>
    </row>
    <row r="25" spans="1:8" ht="19.5" customHeight="1">
      <c r="A25" s="271" t="s">
        <v>2274</v>
      </c>
      <c r="B25" s="638"/>
      <c r="C25" s="638"/>
      <c r="D25" s="638"/>
      <c r="E25" s="638"/>
      <c r="F25" s="637"/>
      <c r="G25" s="637"/>
      <c r="H25" s="637"/>
    </row>
    <row r="26" spans="1:8" ht="19.5" customHeight="1">
      <c r="A26" s="271" t="s">
        <v>2275</v>
      </c>
      <c r="B26" s="638"/>
      <c r="C26" s="638"/>
      <c r="D26" s="264"/>
      <c r="E26" s="264"/>
      <c r="F26" s="637"/>
      <c r="G26" s="637"/>
      <c r="H26" s="637"/>
    </row>
    <row r="27" spans="1:8" ht="19.5" customHeight="1">
      <c r="A27" s="637"/>
      <c r="B27" s="637"/>
      <c r="C27" s="637"/>
      <c r="D27" s="637"/>
      <c r="E27" s="637"/>
      <c r="F27" s="637"/>
      <c r="G27" s="637"/>
      <c r="H27" s="637"/>
    </row>
    <row r="28" spans="1:8" ht="21">
      <c r="A28" s="639" t="s">
        <v>2217</v>
      </c>
      <c r="B28" s="639"/>
      <c r="C28" s="639"/>
      <c r="D28" s="639"/>
      <c r="E28" s="639"/>
      <c r="F28" s="639"/>
      <c r="G28" s="639"/>
      <c r="H28" s="639"/>
    </row>
    <row r="29" spans="1:8" ht="84.75" customHeight="1">
      <c r="A29" s="640" t="s">
        <v>2218</v>
      </c>
      <c r="B29" s="640"/>
      <c r="C29" s="640"/>
      <c r="D29" s="640"/>
      <c r="E29" s="640"/>
      <c r="F29" s="640"/>
      <c r="G29" s="640"/>
      <c r="H29" s="640"/>
    </row>
    <row r="30" spans="1:8" ht="55.5" customHeight="1">
      <c r="A30" s="636" t="s">
        <v>2202</v>
      </c>
      <c r="B30" s="636"/>
      <c r="C30" s="636"/>
      <c r="D30" s="636"/>
      <c r="E30" s="636"/>
      <c r="F30" s="636"/>
      <c r="G30" s="636"/>
      <c r="H30" s="636"/>
    </row>
  </sheetData>
  <mergeCells count="37">
    <mergeCell ref="A14:H14"/>
    <mergeCell ref="A1:H1"/>
    <mergeCell ref="A2:H2"/>
    <mergeCell ref="A4:H4"/>
    <mergeCell ref="A5:H5"/>
    <mergeCell ref="A6:H6"/>
    <mergeCell ref="A7:H7"/>
    <mergeCell ref="A8:H8"/>
    <mergeCell ref="A9:H9"/>
    <mergeCell ref="A10:H10"/>
    <mergeCell ref="A11:H11"/>
    <mergeCell ref="A13:H13"/>
    <mergeCell ref="E24:H24"/>
    <mergeCell ref="F20:G20"/>
    <mergeCell ref="B16:F16"/>
    <mergeCell ref="G16:H16"/>
    <mergeCell ref="B17:D17"/>
    <mergeCell ref="F17:H17"/>
    <mergeCell ref="C18:D18"/>
    <mergeCell ref="A19:F19"/>
    <mergeCell ref="G19:H19"/>
    <mergeCell ref="A30:H30"/>
    <mergeCell ref="B20:D20"/>
    <mergeCell ref="B25:E25"/>
    <mergeCell ref="F25:H27"/>
    <mergeCell ref="B26:C26"/>
    <mergeCell ref="A27:E27"/>
    <mergeCell ref="A28:H28"/>
    <mergeCell ref="A29:H29"/>
    <mergeCell ref="A21:B21"/>
    <mergeCell ref="C21:D21"/>
    <mergeCell ref="E21:H21"/>
    <mergeCell ref="C22:D22"/>
    <mergeCell ref="E22:H22"/>
    <mergeCell ref="A23:D24"/>
    <mergeCell ref="E23:F23"/>
    <mergeCell ref="G23:H23"/>
  </mergeCells>
  <printOptions horizontalCentered="1" verticalCentered="1"/>
  <pageMargins left="0.7" right="0.7" top="0.75" bottom="0.75" header="0.3" footer="0.3"/>
  <pageSetup scale="47"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D5DEEB2-1548-498B-A30C-2E5CC9044E72}">
          <x14:formula1>
            <xm:f>CATÁLOGO!$H$10:$H$18</xm:f>
          </x14:formula1>
          <xm:sqref>C21:D21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tabColor theme="9" tint="0.39997558519241921"/>
    <pageSetUpPr fitToPage="1"/>
  </sheetPr>
  <dimension ref="A1:E51"/>
  <sheetViews>
    <sheetView showGridLines="0" showZeros="0" topLeftCell="A19" zoomScale="70" zoomScaleNormal="70" workbookViewId="0">
      <selection activeCell="B1" sqref="B1"/>
    </sheetView>
  </sheetViews>
  <sheetFormatPr baseColWidth="10" defaultColWidth="11.42578125" defaultRowHeight="18.75"/>
  <cols>
    <col min="1" max="1" width="2.7109375" style="1" customWidth="1" collapsed="1"/>
    <col min="2" max="2" width="33.85546875" style="2" customWidth="1" collapsed="1"/>
    <col min="3" max="3" width="81" style="2" customWidth="1" collapsed="1"/>
    <col min="4" max="4" width="13.28515625" style="2" customWidth="1" collapsed="1"/>
    <col min="5" max="5" width="3.28515625" style="1" customWidth="1" collapsed="1"/>
    <col min="6" max="16384" width="11.42578125" style="1" collapsed="1"/>
  </cols>
  <sheetData>
    <row r="1" spans="1:5" ht="45.75" customHeight="1">
      <c r="A1" s="11"/>
      <c r="B1" s="4" t="s">
        <v>1754</v>
      </c>
      <c r="C1" s="4"/>
      <c r="D1" s="4"/>
      <c r="E1" s="12"/>
    </row>
    <row r="2" spans="1:5">
      <c r="A2" s="13"/>
      <c r="B2" s="3" t="s">
        <v>164</v>
      </c>
      <c r="C2" s="3"/>
      <c r="D2" s="3"/>
      <c r="E2" s="5"/>
    </row>
    <row r="3" spans="1:5" ht="10.5" customHeight="1">
      <c r="A3" s="13"/>
      <c r="B3" s="3"/>
      <c r="C3" s="3"/>
      <c r="D3" s="3"/>
      <c r="E3" s="5"/>
    </row>
    <row r="4" spans="1:5" ht="21.75" customHeight="1">
      <c r="A4" s="13"/>
      <c r="B4" s="51" t="s">
        <v>41</v>
      </c>
      <c r="C4" s="73">
        <f>+FORMULARIO!C13</f>
        <v>0</v>
      </c>
      <c r="D4" s="3"/>
      <c r="E4" s="5"/>
    </row>
    <row r="5" spans="1:5" ht="21.75" customHeight="1">
      <c r="A5" s="13"/>
      <c r="B5" s="51" t="s">
        <v>35</v>
      </c>
      <c r="C5" s="52" t="str">
        <f>+CONCATENATE(IF(FORMULARIO!C31="N/A","",FORMULARIO!C31)," ",IF(FORMULARIO!C32="N/A","",FORMULARIO!C32)," ",IF(FORMULARIO!C33="N/A","",FORMULARIO!C33)," ",IF(FORMULARIO!C34="N/A","",FORMULARIO!C34)," ",IF(FORMULARIO!C35="N/A","",FORMULARIO!C35))</f>
        <v xml:space="preserve">    </v>
      </c>
      <c r="D5" s="3"/>
      <c r="E5" s="14"/>
    </row>
    <row r="6" spans="1:5" ht="21.75" customHeight="1">
      <c r="A6" s="13"/>
      <c r="B6" s="51" t="s">
        <v>39</v>
      </c>
      <c r="C6" s="52">
        <f>+FORMULARIO!C19</f>
        <v>0</v>
      </c>
      <c r="D6" s="3"/>
      <c r="E6" s="14"/>
    </row>
    <row r="7" spans="1:5" ht="21.75" customHeight="1">
      <c r="A7" s="13"/>
      <c r="B7" s="51" t="s">
        <v>40</v>
      </c>
      <c r="C7" s="52">
        <f>+FORMULARIO!C20</f>
        <v>0</v>
      </c>
      <c r="D7" s="3"/>
      <c r="E7" s="14"/>
    </row>
    <row r="8" spans="1:5" ht="21.75" customHeight="1" thickBot="1">
      <c r="A8" s="13"/>
      <c r="B8" s="51" t="s">
        <v>42</v>
      </c>
      <c r="C8" s="53">
        <f>+FORMULARIO!C21</f>
        <v>0</v>
      </c>
      <c r="D8" s="3"/>
      <c r="E8" s="14"/>
    </row>
    <row r="9" spans="1:5" ht="21.75" customHeight="1">
      <c r="A9" s="13"/>
      <c r="B9" s="51" t="s">
        <v>34</v>
      </c>
      <c r="C9" s="118">
        <f>+FORMULARIO!C22</f>
        <v>0</v>
      </c>
      <c r="D9" s="611" t="s">
        <v>158</v>
      </c>
      <c r="E9" s="14"/>
    </row>
    <row r="10" spans="1:5" ht="21.75" customHeight="1">
      <c r="A10" s="13"/>
      <c r="B10" s="51" t="s">
        <v>1338</v>
      </c>
      <c r="C10" s="118">
        <f>+FORMULARIO!C28</f>
        <v>0</v>
      </c>
      <c r="D10" s="612"/>
      <c r="E10" s="14"/>
    </row>
    <row r="11" spans="1:5" ht="21.75" customHeight="1">
      <c r="A11" s="13"/>
      <c r="B11" s="51" t="s">
        <v>43</v>
      </c>
      <c r="C11" s="52">
        <f>+FORMULARIO!C29</f>
        <v>0</v>
      </c>
      <c r="D11" s="612"/>
      <c r="E11" s="14"/>
    </row>
    <row r="12" spans="1:5" ht="21.75" customHeight="1" thickBot="1">
      <c r="A12" s="13"/>
      <c r="B12" s="3"/>
      <c r="C12" s="18"/>
      <c r="D12" s="613"/>
      <c r="E12" s="14"/>
    </row>
    <row r="13" spans="1:5" ht="21.75" customHeight="1" thickBot="1">
      <c r="A13" s="13"/>
      <c r="B13" s="617" t="s">
        <v>1343</v>
      </c>
      <c r="C13" s="618"/>
      <c r="D13" s="619"/>
      <c r="E13" s="14"/>
    </row>
    <row r="14" spans="1:5" ht="21.75" customHeight="1" thickBot="1">
      <c r="A14" s="13"/>
      <c r="B14" s="123" t="s">
        <v>49</v>
      </c>
      <c r="C14" s="45"/>
      <c r="D14" s="117"/>
      <c r="E14" s="14"/>
    </row>
    <row r="15" spans="1:5" ht="21.75" customHeight="1" thickBot="1">
      <c r="A15" s="13"/>
      <c r="B15" s="123" t="s">
        <v>48</v>
      </c>
      <c r="C15" s="45"/>
      <c r="D15" s="117"/>
      <c r="E15" s="14"/>
    </row>
    <row r="16" spans="1:5" ht="21.75" customHeight="1" thickBot="1">
      <c r="A16" s="13"/>
      <c r="B16" s="123" t="s">
        <v>5</v>
      </c>
      <c r="C16" s="45"/>
      <c r="D16" s="117"/>
      <c r="E16" s="14"/>
    </row>
    <row r="17" spans="1:5" ht="21.75" customHeight="1" thickBot="1">
      <c r="A17" s="13"/>
      <c r="B17" s="66" t="s">
        <v>6</v>
      </c>
      <c r="C17" s="45"/>
      <c r="D17" s="117"/>
      <c r="E17" s="14"/>
    </row>
    <row r="18" spans="1:5" ht="21.75" customHeight="1" thickBot="1">
      <c r="A18" s="13"/>
      <c r="B18" s="123" t="s">
        <v>10</v>
      </c>
      <c r="C18" s="45"/>
      <c r="D18" s="117"/>
      <c r="E18" s="14"/>
    </row>
    <row r="19" spans="1:5" ht="21.75" customHeight="1" thickBot="1">
      <c r="A19" s="13"/>
      <c r="B19" s="123" t="s">
        <v>44</v>
      </c>
      <c r="C19" s="45"/>
      <c r="D19" s="117"/>
      <c r="E19" s="14"/>
    </row>
    <row r="20" spans="1:5" ht="21.75" customHeight="1" thickBot="1">
      <c r="A20" s="13"/>
      <c r="B20" s="617" t="s">
        <v>165</v>
      </c>
      <c r="C20" s="618"/>
      <c r="D20" s="619"/>
      <c r="E20" s="14"/>
    </row>
    <row r="21" spans="1:5" ht="21.75" customHeight="1" thickBot="1">
      <c r="A21" s="13"/>
      <c r="B21" s="44" t="s">
        <v>7</v>
      </c>
      <c r="C21" s="45"/>
      <c r="D21" s="117"/>
      <c r="E21" s="14"/>
    </row>
    <row r="22" spans="1:5" ht="21.75" customHeight="1" thickBot="1">
      <c r="A22" s="13"/>
      <c r="B22" s="44" t="s">
        <v>8</v>
      </c>
      <c r="C22" s="45"/>
      <c r="D22" s="117"/>
      <c r="E22" s="14"/>
    </row>
    <row r="23" spans="1:5" ht="21.75" customHeight="1" thickBot="1">
      <c r="A23" s="13"/>
      <c r="B23" s="55" t="s">
        <v>9</v>
      </c>
      <c r="C23" s="56"/>
      <c r="D23" s="117"/>
      <c r="E23" s="14"/>
    </row>
    <row r="24" spans="1:5" ht="21.75" customHeight="1" thickBot="1">
      <c r="A24" s="13"/>
      <c r="B24" s="617" t="s">
        <v>1344</v>
      </c>
      <c r="C24" s="618"/>
      <c r="D24" s="619"/>
      <c r="E24" s="14"/>
    </row>
    <row r="25" spans="1:5" ht="21.75" customHeight="1" thickBot="1">
      <c r="A25" s="13"/>
      <c r="B25" s="66" t="s">
        <v>47</v>
      </c>
      <c r="C25" s="45"/>
      <c r="D25" s="117"/>
      <c r="E25" s="14"/>
    </row>
    <row r="26" spans="1:5" ht="21.75" customHeight="1" thickBot="1">
      <c r="A26" s="13"/>
      <c r="B26" s="66" t="s">
        <v>46</v>
      </c>
      <c r="C26" s="45"/>
      <c r="D26" s="117"/>
      <c r="E26" s="14"/>
    </row>
    <row r="27" spans="1:5" ht="21.75" customHeight="1" thickBot="1">
      <c r="A27" s="13"/>
      <c r="B27" s="44" t="s">
        <v>1448</v>
      </c>
      <c r="C27" s="45"/>
      <c r="D27" s="117"/>
      <c r="E27" s="14"/>
    </row>
    <row r="28" spans="1:5" ht="21.75" customHeight="1" thickBot="1">
      <c r="A28" s="13"/>
      <c r="B28" s="44" t="s">
        <v>11</v>
      </c>
      <c r="C28" s="45"/>
      <c r="D28" s="117"/>
      <c r="E28" s="14"/>
    </row>
    <row r="29" spans="1:5" ht="21.75" customHeight="1" thickBot="1">
      <c r="A29" s="13"/>
      <c r="B29" s="44" t="s">
        <v>9</v>
      </c>
      <c r="C29" s="45"/>
      <c r="D29" s="117"/>
      <c r="E29" s="14"/>
    </row>
    <row r="30" spans="1:5" ht="21.75" customHeight="1" thickBot="1">
      <c r="A30" s="13"/>
      <c r="B30" s="617" t="s">
        <v>1345</v>
      </c>
      <c r="C30" s="618"/>
      <c r="D30" s="619"/>
      <c r="E30" s="14"/>
    </row>
    <row r="31" spans="1:5" ht="21.75" customHeight="1" thickBot="1">
      <c r="A31" s="13"/>
      <c r="B31" s="66" t="s">
        <v>47</v>
      </c>
      <c r="C31" s="45"/>
      <c r="D31" s="117"/>
      <c r="E31" s="14"/>
    </row>
    <row r="32" spans="1:5" ht="21.75" customHeight="1" thickBot="1">
      <c r="A32" s="13"/>
      <c r="B32" s="66" t="s">
        <v>46</v>
      </c>
      <c r="C32" s="45"/>
      <c r="D32" s="117"/>
      <c r="E32" s="14"/>
    </row>
    <row r="33" spans="1:5" ht="21.75" customHeight="1" thickBot="1">
      <c r="A33" s="13"/>
      <c r="B33" s="44" t="s">
        <v>45</v>
      </c>
      <c r="C33" s="45"/>
      <c r="D33" s="117"/>
      <c r="E33" s="14"/>
    </row>
    <row r="34" spans="1:5" ht="21.75" customHeight="1" thickBot="1">
      <c r="A34" s="13"/>
      <c r="B34" s="44" t="s">
        <v>1359</v>
      </c>
      <c r="C34" s="45"/>
      <c r="D34" s="117"/>
      <c r="E34" s="14"/>
    </row>
    <row r="35" spans="1:5" ht="21.75" customHeight="1" thickBot="1">
      <c r="A35" s="13"/>
      <c r="B35" s="44" t="s">
        <v>13</v>
      </c>
      <c r="C35" s="45"/>
      <c r="D35" s="117"/>
      <c r="E35" s="14"/>
    </row>
    <row r="36" spans="1:5" ht="21.75" customHeight="1" thickBot="1">
      <c r="A36" s="13"/>
      <c r="B36" s="44" t="s">
        <v>12</v>
      </c>
      <c r="C36" s="45"/>
      <c r="D36" s="117"/>
      <c r="E36" s="14"/>
    </row>
    <row r="37" spans="1:5">
      <c r="A37" s="13"/>
      <c r="B37" s="3"/>
      <c r="C37" s="3"/>
      <c r="D37" s="3"/>
      <c r="E37" s="14"/>
    </row>
    <row r="38" spans="1:5" ht="21">
      <c r="A38" s="13"/>
      <c r="B38" s="47" t="s">
        <v>156</v>
      </c>
      <c r="C38" s="52">
        <f>+FORMULARIO!$C$15</f>
        <v>0</v>
      </c>
      <c r="D38" s="3"/>
      <c r="E38" s="14"/>
    </row>
    <row r="39" spans="1:5" ht="21">
      <c r="A39" s="13"/>
      <c r="B39" s="616" t="s">
        <v>1364</v>
      </c>
      <c r="C39" s="50"/>
      <c r="D39" s="3"/>
      <c r="E39" s="14"/>
    </row>
    <row r="40" spans="1:5" ht="21">
      <c r="A40" s="13"/>
      <c r="B40" s="616"/>
      <c r="C40" s="50" t="s">
        <v>161</v>
      </c>
      <c r="D40" s="3"/>
      <c r="E40" s="14"/>
    </row>
    <row r="41" spans="1:5">
      <c r="A41" s="13"/>
      <c r="B41" s="3"/>
      <c r="C41" s="3"/>
      <c r="D41" s="3"/>
      <c r="E41" s="14"/>
    </row>
    <row r="42" spans="1:5" ht="21">
      <c r="A42" s="13"/>
      <c r="B42" s="47" t="s">
        <v>157</v>
      </c>
      <c r="C42" s="52" t="str">
        <f>+FORMULARIO!C16</f>
        <v/>
      </c>
      <c r="D42" s="47"/>
      <c r="E42" s="14"/>
    </row>
    <row r="43" spans="1:5" ht="33.75" customHeight="1">
      <c r="A43" s="13"/>
      <c r="B43" s="616" t="s">
        <v>1364</v>
      </c>
      <c r="C43" s="50"/>
      <c r="D43" s="46"/>
      <c r="E43" s="14"/>
    </row>
    <row r="44" spans="1:5" ht="33.75" customHeight="1">
      <c r="A44" s="13"/>
      <c r="B44" s="616"/>
      <c r="C44" s="50" t="s">
        <v>161</v>
      </c>
      <c r="D44" s="46"/>
      <c r="E44" s="14"/>
    </row>
    <row r="45" spans="1:5" ht="21.75" customHeight="1">
      <c r="A45" s="13"/>
      <c r="B45" s="48"/>
      <c r="C45" s="48"/>
      <c r="D45" s="46"/>
      <c r="E45" s="14"/>
    </row>
    <row r="46" spans="1:5" ht="12" customHeight="1">
      <c r="A46" s="13"/>
      <c r="B46" s="49"/>
      <c r="C46" s="49"/>
      <c r="D46" s="46"/>
      <c r="E46" s="14"/>
    </row>
    <row r="47" spans="1:5" ht="21.75" customHeight="1">
      <c r="A47" s="13"/>
      <c r="B47" s="47" t="s">
        <v>1400</v>
      </c>
      <c r="C47" s="52" t="str">
        <f>+FORMULARIO!C17</f>
        <v/>
      </c>
      <c r="D47" s="47"/>
      <c r="E47" s="14"/>
    </row>
    <row r="48" spans="1:5" ht="33.75" customHeight="1">
      <c r="A48" s="13"/>
      <c r="B48" s="616" t="s">
        <v>1364</v>
      </c>
      <c r="C48" s="50"/>
      <c r="D48" s="46"/>
      <c r="E48" s="14"/>
    </row>
    <row r="49" spans="1:5" ht="33.75" customHeight="1">
      <c r="A49" s="13"/>
      <c r="B49" s="616"/>
      <c r="C49" s="50" t="s">
        <v>161</v>
      </c>
      <c r="D49" s="46"/>
      <c r="E49" s="14"/>
    </row>
    <row r="50" spans="1:5" ht="21.75" customHeight="1">
      <c r="A50" s="13"/>
      <c r="B50" s="49"/>
      <c r="C50" s="49"/>
      <c r="D50" s="46"/>
      <c r="E50" s="14"/>
    </row>
    <row r="51" spans="1:5" ht="12" customHeight="1" thickBot="1">
      <c r="A51" s="15"/>
      <c r="B51" s="57"/>
      <c r="C51" s="57"/>
      <c r="D51" s="58"/>
      <c r="E51" s="17"/>
    </row>
  </sheetData>
  <mergeCells count="8">
    <mergeCell ref="B43:B44"/>
    <mergeCell ref="B48:B49"/>
    <mergeCell ref="B24:D24"/>
    <mergeCell ref="B30:D30"/>
    <mergeCell ref="D9:D12"/>
    <mergeCell ref="B13:D13"/>
    <mergeCell ref="B20:D20"/>
    <mergeCell ref="B39:B40"/>
  </mergeCells>
  <conditionalFormatting sqref="D14">
    <cfRule type="iconSet" priority="10">
      <iconSet iconSet="3Symbols2" showValue="0">
        <cfvo type="percent" val="0"/>
        <cfvo type="num" val="1"/>
        <cfvo type="num" val="1"/>
      </iconSet>
    </cfRule>
  </conditionalFormatting>
  <conditionalFormatting sqref="D15:D19">
    <cfRule type="iconSet" priority="8">
      <iconSet iconSet="3Symbols2" showValue="0">
        <cfvo type="percent" val="0"/>
        <cfvo type="num" val="1"/>
        <cfvo type="num" val="1"/>
      </iconSet>
    </cfRule>
  </conditionalFormatting>
  <conditionalFormatting sqref="D21:D23">
    <cfRule type="iconSet" priority="7">
      <iconSet iconSet="3Symbols2" showValue="0">
        <cfvo type="percent" val="0"/>
        <cfvo type="num" val="1"/>
        <cfvo type="num" val="1"/>
      </iconSet>
    </cfRule>
  </conditionalFormatting>
  <conditionalFormatting sqref="D25">
    <cfRule type="iconSet" priority="6">
      <iconSet iconSet="3Symbols2" showValue="0">
        <cfvo type="percent" val="0"/>
        <cfvo type="num" val="1"/>
        <cfvo type="num" val="1"/>
      </iconSet>
    </cfRule>
  </conditionalFormatting>
  <conditionalFormatting sqref="D26:D29">
    <cfRule type="iconSet" priority="5">
      <iconSet iconSet="3Symbols2" showValue="0">
        <cfvo type="percent" val="0"/>
        <cfvo type="num" val="1"/>
        <cfvo type="num" val="1"/>
      </iconSet>
    </cfRule>
  </conditionalFormatting>
  <conditionalFormatting sqref="D31">
    <cfRule type="iconSet" priority="4">
      <iconSet iconSet="3Symbols2" showValue="0">
        <cfvo type="percent" val="0"/>
        <cfvo type="num" val="1"/>
        <cfvo type="num" val="1"/>
      </iconSet>
    </cfRule>
  </conditionalFormatting>
  <conditionalFormatting sqref="D32:D36">
    <cfRule type="iconSet" priority="1">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67"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4" tint="-0.249977111117893"/>
    <pageSetUpPr fitToPage="1"/>
  </sheetPr>
  <dimension ref="A1:O40"/>
  <sheetViews>
    <sheetView showGridLines="0" showZeros="0" zoomScale="60" zoomScaleNormal="60" workbookViewId="0">
      <selection activeCell="O23" sqref="O23"/>
    </sheetView>
  </sheetViews>
  <sheetFormatPr baseColWidth="10" defaultColWidth="11.42578125" defaultRowHeight="15"/>
  <cols>
    <col min="1" max="1" width="6.85546875" customWidth="1" collapsed="1"/>
    <col min="2" max="2" width="14.140625" customWidth="1" collapsed="1"/>
    <col min="3" max="3" width="7.42578125" customWidth="1" collapsed="1"/>
    <col min="4" max="4" width="9" customWidth="1" collapsed="1"/>
    <col min="5" max="5" width="9.7109375" customWidth="1" collapsed="1"/>
    <col min="6" max="6" width="20.140625" customWidth="1" collapsed="1"/>
    <col min="7" max="7" width="8.5703125" customWidth="1" collapsed="1"/>
    <col min="8" max="8" width="12.28515625" customWidth="1" collapsed="1"/>
    <col min="9" max="9" width="14.28515625" customWidth="1" collapsed="1"/>
    <col min="10" max="10" width="8.42578125" customWidth="1" collapsed="1"/>
    <col min="11" max="11" width="13.85546875" customWidth="1" collapsed="1"/>
    <col min="12" max="12" width="8.5703125" customWidth="1" collapsed="1"/>
    <col min="13" max="13" width="16.140625" customWidth="1" collapsed="1"/>
    <col min="14" max="14" width="1.42578125" customWidth="1" collapsed="1"/>
  </cols>
  <sheetData>
    <row r="1" spans="1:15" ht="46.5" customHeight="1">
      <c r="A1" s="753" t="s">
        <v>15</v>
      </c>
      <c r="B1" s="753"/>
      <c r="C1" s="753"/>
      <c r="D1" s="753"/>
      <c r="E1" s="753"/>
      <c r="F1" s="753"/>
      <c r="G1" s="753"/>
      <c r="H1" s="753"/>
      <c r="I1" s="753"/>
      <c r="J1" s="753"/>
      <c r="K1" s="753"/>
      <c r="L1" s="753"/>
      <c r="M1" s="753"/>
      <c r="N1" s="753"/>
      <c r="O1" t="s">
        <v>1758</v>
      </c>
    </row>
    <row r="2" spans="1:15" ht="19.5" customHeight="1"/>
    <row r="3" spans="1:15">
      <c r="A3" s="754"/>
      <c r="B3" s="754"/>
    </row>
    <row r="4" spans="1:15" ht="27.75" customHeight="1">
      <c r="K4" s="177" t="str">
        <f>+IF(FORMULARIO!$C$13&gt;1,"Panamá,","")</f>
        <v/>
      </c>
      <c r="L4" s="757">
        <f>+FORMULARIO!$C$13</f>
        <v>0</v>
      </c>
      <c r="M4" s="757"/>
    </row>
    <row r="5" spans="1:15">
      <c r="A5" s="6" t="s">
        <v>24</v>
      </c>
    </row>
    <row r="6" spans="1:15" ht="6" customHeight="1"/>
    <row r="7" spans="1:15">
      <c r="A7" s="8" t="s">
        <v>16</v>
      </c>
      <c r="B7" s="755" t="str">
        <f>CONCATENATE('CTC Pers. Natural'!B10," ",'CTC Pers. Natural'!F10," ",'CTC Pers. Natural'!H10," ",'CTC Pers. Natural'!B11)</f>
        <v xml:space="preserve">   </v>
      </c>
      <c r="C7" s="755"/>
      <c r="D7" s="755"/>
      <c r="E7" s="755"/>
      <c r="F7" s="755"/>
      <c r="G7" s="755"/>
      <c r="H7" s="755"/>
      <c r="I7" t="s">
        <v>22</v>
      </c>
      <c r="M7" s="234">
        <f>+'CTC Pers. Natural'!B14</f>
        <v>0</v>
      </c>
    </row>
    <row r="8" spans="1:15">
      <c r="A8" t="s">
        <v>51</v>
      </c>
      <c r="H8" t="s">
        <v>17</v>
      </c>
      <c r="I8" s="755">
        <f>+'PORTADA FILE VENTAS'!C6</f>
        <v>0</v>
      </c>
      <c r="J8" s="755"/>
      <c r="K8" s="96" t="s">
        <v>18</v>
      </c>
      <c r="L8" s="755">
        <f>+'PORTADA FILE VENTAS'!C7</f>
        <v>0</v>
      </c>
      <c r="M8" s="756"/>
      <c r="N8" s="6"/>
    </row>
    <row r="9" spans="1:15">
      <c r="A9" t="s">
        <v>19</v>
      </c>
      <c r="C9" s="752">
        <f>+'PORTADA FILE VENTAS'!C11</f>
        <v>0</v>
      </c>
      <c r="D9" s="752"/>
      <c r="E9" s="752"/>
      <c r="F9" t="s">
        <v>20</v>
      </c>
      <c r="G9" s="752">
        <f>+'PORTADA FILE VENTAS'!C10</f>
        <v>0</v>
      </c>
      <c r="H9" s="752"/>
      <c r="I9" s="96" t="s">
        <v>21</v>
      </c>
      <c r="J9" s="127">
        <f>+FORMULARIO!C27</f>
        <v>0</v>
      </c>
      <c r="K9" t="s">
        <v>1353</v>
      </c>
    </row>
    <row r="10" spans="1:15" ht="15" customHeight="1">
      <c r="A10" t="s">
        <v>1701</v>
      </c>
      <c r="E10" s="758" t="str">
        <f>+FORMULARIO!C10</f>
        <v/>
      </c>
      <c r="F10" s="758"/>
      <c r="G10" t="s">
        <v>1354</v>
      </c>
      <c r="J10" s="128"/>
    </row>
    <row r="11" spans="1:15">
      <c r="A11" t="s">
        <v>1355</v>
      </c>
      <c r="F11" s="65"/>
      <c r="G11" s="758" t="s">
        <v>0</v>
      </c>
      <c r="H11" s="758"/>
      <c r="I11" s="758"/>
      <c r="J11" s="129" t="s">
        <v>1356</v>
      </c>
    </row>
    <row r="12" spans="1:15" ht="39" customHeight="1">
      <c r="A12" s="759" t="s">
        <v>1357</v>
      </c>
      <c r="B12" s="760"/>
      <c r="C12" s="760"/>
      <c r="D12" s="760"/>
      <c r="E12" s="760"/>
      <c r="F12" s="760"/>
      <c r="G12" s="760"/>
      <c r="H12" s="760"/>
      <c r="I12" s="760"/>
      <c r="J12" s="760"/>
      <c r="K12" s="760"/>
      <c r="L12" s="760"/>
      <c r="M12" s="760"/>
      <c r="N12" s="760"/>
    </row>
    <row r="13" spans="1:15" ht="53.25" customHeight="1">
      <c r="A13" s="761" t="s">
        <v>1702</v>
      </c>
      <c r="B13" s="761"/>
      <c r="C13" s="761"/>
      <c r="D13" s="761"/>
      <c r="E13" s="761"/>
      <c r="F13" s="761"/>
      <c r="G13" s="761"/>
      <c r="H13" s="761"/>
      <c r="I13" s="761"/>
      <c r="J13" s="761"/>
      <c r="K13" s="761"/>
      <c r="L13" s="761"/>
      <c r="M13" s="761"/>
      <c r="N13" s="761"/>
    </row>
    <row r="14" spans="1:15" ht="154.5" customHeight="1">
      <c r="A14" s="762" t="s">
        <v>1703</v>
      </c>
      <c r="B14" s="762"/>
      <c r="C14" s="762"/>
      <c r="D14" s="762"/>
      <c r="E14" s="762"/>
      <c r="F14" s="762"/>
      <c r="G14" s="762"/>
      <c r="H14" s="762"/>
      <c r="I14" s="762"/>
      <c r="J14" s="762"/>
      <c r="K14" s="762"/>
      <c r="L14" s="762"/>
      <c r="M14" s="762"/>
      <c r="N14" s="762"/>
      <c r="O14" s="238"/>
    </row>
    <row r="15" spans="1:15" ht="16.5" customHeight="1">
      <c r="A15" s="236"/>
      <c r="B15" s="236"/>
      <c r="C15" s="237"/>
      <c r="D15" s="237"/>
      <c r="E15" s="237"/>
      <c r="H15" s="235"/>
      <c r="I15" s="235"/>
      <c r="J15" s="235"/>
      <c r="K15" s="235"/>
      <c r="L15" s="235"/>
      <c r="M15" s="235"/>
      <c r="N15" s="235"/>
    </row>
    <row r="16" spans="1:15" ht="15.75">
      <c r="A16" s="9" t="s">
        <v>25</v>
      </c>
      <c r="H16" s="9" t="s">
        <v>29</v>
      </c>
    </row>
    <row r="17" spans="1:14" ht="7.5" customHeight="1" thickBot="1">
      <c r="A17" s="9"/>
    </row>
    <row r="18" spans="1:14" ht="15.75" thickBot="1">
      <c r="A18" s="7" t="s">
        <v>37</v>
      </c>
      <c r="E18" s="119"/>
      <c r="H18" s="7" t="s">
        <v>30</v>
      </c>
      <c r="J18" s="119"/>
    </row>
    <row r="19" spans="1:14" ht="3.75" customHeight="1" thickBot="1">
      <c r="A19" s="7"/>
      <c r="H19" s="7"/>
    </row>
    <row r="20" spans="1:14" ht="15.75" thickBot="1">
      <c r="A20" s="7" t="s">
        <v>36</v>
      </c>
      <c r="E20" s="119"/>
      <c r="H20" s="7" t="s">
        <v>31</v>
      </c>
      <c r="J20" s="119"/>
    </row>
    <row r="21" spans="1:14" ht="3.75" customHeight="1" thickBot="1">
      <c r="A21" s="7"/>
      <c r="H21" s="7"/>
    </row>
    <row r="22" spans="1:14" ht="15.75" thickBot="1">
      <c r="A22" s="7" t="s">
        <v>26</v>
      </c>
      <c r="E22" s="119"/>
      <c r="H22" s="7" t="s">
        <v>32</v>
      </c>
      <c r="J22" s="119"/>
    </row>
    <row r="23" spans="1:14" ht="3.75" customHeight="1" thickBot="1">
      <c r="A23" s="7"/>
    </row>
    <row r="24" spans="1:14" ht="15.75" thickBot="1">
      <c r="A24" s="7" t="s">
        <v>27</v>
      </c>
      <c r="E24" s="119"/>
    </row>
    <row r="25" spans="1:14" ht="3.75" customHeight="1" thickBot="1">
      <c r="A25" s="7"/>
      <c r="H25" s="7"/>
    </row>
    <row r="26" spans="1:14" ht="15.75" thickBot="1">
      <c r="A26" s="7" t="s">
        <v>38</v>
      </c>
      <c r="E26" s="119"/>
    </row>
    <row r="27" spans="1:14" ht="3.75" customHeight="1">
      <c r="A27" s="7"/>
    </row>
    <row r="28" spans="1:14" ht="18" customHeight="1" thickBot="1">
      <c r="A28" s="9" t="s">
        <v>28</v>
      </c>
    </row>
    <row r="29" spans="1:14" ht="16.5" thickBot="1">
      <c r="A29" s="7" t="s">
        <v>1346</v>
      </c>
      <c r="E29" s="119"/>
      <c r="H29" s="9" t="s">
        <v>81</v>
      </c>
      <c r="J29" s="119"/>
    </row>
    <row r="30" spans="1:14" ht="31.5" customHeight="1">
      <c r="A30" s="40" t="s">
        <v>33</v>
      </c>
    </row>
    <row r="31" spans="1:14" s="39" customFormat="1" ht="54" customHeight="1">
      <c r="A31" s="751" t="s">
        <v>77</v>
      </c>
      <c r="B31" s="751"/>
      <c r="C31" s="751"/>
      <c r="D31" s="751"/>
      <c r="E31" s="751"/>
      <c r="F31" s="751"/>
      <c r="G31" s="751"/>
      <c r="H31" s="751"/>
      <c r="I31" s="751"/>
      <c r="J31" s="751"/>
      <c r="K31" s="751"/>
      <c r="L31" s="751"/>
      <c r="M31" s="751"/>
      <c r="N31" s="751"/>
    </row>
    <row r="32" spans="1:14">
      <c r="A32" s="10"/>
    </row>
    <row r="33" spans="1:15" ht="21.75" customHeight="1">
      <c r="A33" t="s">
        <v>23</v>
      </c>
    </row>
    <row r="34" spans="1:15" ht="33.75" customHeight="1">
      <c r="A34" s="749"/>
      <c r="B34" s="749"/>
      <c r="C34" s="749"/>
      <c r="D34" s="749"/>
      <c r="E34" s="749"/>
      <c r="G34" s="25"/>
      <c r="H34" s="25"/>
      <c r="I34" s="25"/>
      <c r="L34" s="25"/>
      <c r="M34" s="25"/>
    </row>
    <row r="35" spans="1:15">
      <c r="A35" s="574" t="s">
        <v>78</v>
      </c>
      <c r="B35" s="574"/>
      <c r="C35" s="574"/>
      <c r="D35" s="574"/>
      <c r="E35" s="574"/>
      <c r="G35" s="750" t="s">
        <v>79</v>
      </c>
      <c r="H35" s="750"/>
      <c r="I35" s="750"/>
      <c r="L35" s="750" t="s">
        <v>80</v>
      </c>
      <c r="M35" s="750"/>
    </row>
    <row r="37" spans="1:15">
      <c r="A37" s="746" t="s">
        <v>2217</v>
      </c>
      <c r="B37" s="747"/>
      <c r="C37" s="747"/>
      <c r="D37" s="747"/>
      <c r="E37" s="747"/>
      <c r="F37" s="747"/>
      <c r="G37" s="747"/>
      <c r="H37" s="747"/>
      <c r="I37" s="747"/>
      <c r="J37" s="747"/>
      <c r="K37" s="747"/>
      <c r="L37" s="747"/>
      <c r="M37" s="747"/>
      <c r="N37" s="747"/>
      <c r="O37" s="747"/>
    </row>
    <row r="38" spans="1:15">
      <c r="A38" s="748" t="s">
        <v>2202</v>
      </c>
      <c r="B38" s="748"/>
      <c r="C38" s="748"/>
      <c r="D38" s="748"/>
      <c r="E38" s="748"/>
      <c r="F38" s="748"/>
      <c r="G38" s="748"/>
      <c r="H38" s="748"/>
      <c r="I38" s="748"/>
      <c r="J38" s="748"/>
      <c r="K38" s="748"/>
      <c r="L38" s="748"/>
      <c r="M38" s="748"/>
      <c r="N38" s="748"/>
      <c r="O38" s="748"/>
    </row>
    <row r="39" spans="1:15">
      <c r="A39" s="748"/>
      <c r="B39" s="748"/>
      <c r="C39" s="748"/>
      <c r="D39" s="748"/>
      <c r="E39" s="748"/>
      <c r="F39" s="748"/>
      <c r="G39" s="748"/>
      <c r="H39" s="748"/>
      <c r="I39" s="748"/>
      <c r="J39" s="748"/>
      <c r="K39" s="748"/>
      <c r="L39" s="748"/>
      <c r="M39" s="748"/>
      <c r="N39" s="748"/>
      <c r="O39" s="748"/>
    </row>
    <row r="40" spans="1:15">
      <c r="A40" s="748"/>
      <c r="B40" s="748"/>
      <c r="C40" s="748"/>
      <c r="D40" s="748"/>
      <c r="E40" s="748"/>
      <c r="F40" s="748"/>
      <c r="G40" s="748"/>
      <c r="H40" s="748"/>
      <c r="I40" s="748"/>
      <c r="J40" s="748"/>
      <c r="K40" s="748"/>
      <c r="L40" s="748"/>
      <c r="M40" s="748"/>
      <c r="N40" s="748"/>
      <c r="O40" s="748"/>
    </row>
  </sheetData>
  <mergeCells count="20">
    <mergeCell ref="A31:N31"/>
    <mergeCell ref="C9:E9"/>
    <mergeCell ref="G9:H9"/>
    <mergeCell ref="A1:N1"/>
    <mergeCell ref="A3:B3"/>
    <mergeCell ref="B7:H7"/>
    <mergeCell ref="I8:J8"/>
    <mergeCell ref="L8:M8"/>
    <mergeCell ref="L4:M4"/>
    <mergeCell ref="E10:F10"/>
    <mergeCell ref="G11:I11"/>
    <mergeCell ref="A12:N12"/>
    <mergeCell ref="A13:N13"/>
    <mergeCell ref="A14:N14"/>
    <mergeCell ref="A37:O37"/>
    <mergeCell ref="A38:O40"/>
    <mergeCell ref="A34:E34"/>
    <mergeCell ref="A35:E35"/>
    <mergeCell ref="G35:I35"/>
    <mergeCell ref="L35:M35"/>
  </mergeCells>
  <conditionalFormatting sqref="E18">
    <cfRule type="iconSet" priority="10">
      <iconSet iconSet="3Symbols2" showValue="0">
        <cfvo type="percent" val="0"/>
        <cfvo type="num" val="1"/>
        <cfvo type="num" val="1"/>
      </iconSet>
    </cfRule>
  </conditionalFormatting>
  <conditionalFormatting sqref="E20">
    <cfRule type="iconSet" priority="9">
      <iconSet iconSet="3Symbols2" showValue="0">
        <cfvo type="percent" val="0"/>
        <cfvo type="num" val="1"/>
        <cfvo type="num" val="1"/>
      </iconSet>
    </cfRule>
  </conditionalFormatting>
  <conditionalFormatting sqref="E22">
    <cfRule type="iconSet" priority="8">
      <iconSet iconSet="3Symbols2" showValue="0">
        <cfvo type="percent" val="0"/>
        <cfvo type="num" val="1"/>
        <cfvo type="num" val="1"/>
      </iconSet>
    </cfRule>
  </conditionalFormatting>
  <conditionalFormatting sqref="E24">
    <cfRule type="iconSet" priority="7">
      <iconSet iconSet="3Symbols2" showValue="0">
        <cfvo type="percent" val="0"/>
        <cfvo type="num" val="1"/>
        <cfvo type="num" val="1"/>
      </iconSet>
    </cfRule>
  </conditionalFormatting>
  <conditionalFormatting sqref="E26">
    <cfRule type="iconSet" priority="6">
      <iconSet iconSet="3Symbols2" showValue="0">
        <cfvo type="percent" val="0"/>
        <cfvo type="num" val="1"/>
        <cfvo type="num" val="1"/>
      </iconSet>
    </cfRule>
  </conditionalFormatting>
  <conditionalFormatting sqref="E29">
    <cfRule type="iconSet" priority="5">
      <iconSet iconSet="3Symbols2" showValue="0">
        <cfvo type="percent" val="0"/>
        <cfvo type="num" val="1"/>
        <cfvo type="num" val="1"/>
      </iconSet>
    </cfRule>
  </conditionalFormatting>
  <conditionalFormatting sqref="J18">
    <cfRule type="iconSet" priority="4">
      <iconSet iconSet="3Symbols2" showValue="0">
        <cfvo type="percent" val="0"/>
        <cfvo type="num" val="1"/>
        <cfvo type="num" val="1"/>
      </iconSet>
    </cfRule>
  </conditionalFormatting>
  <conditionalFormatting sqref="J20">
    <cfRule type="iconSet" priority="3">
      <iconSet iconSet="3Symbols2" showValue="0">
        <cfvo type="percent" val="0"/>
        <cfvo type="num" val="1"/>
        <cfvo type="num" val="1"/>
      </iconSet>
    </cfRule>
  </conditionalFormatting>
  <conditionalFormatting sqref="J22">
    <cfRule type="iconSet" priority="2">
      <iconSet iconSet="3Symbols2" showValue="0">
        <cfvo type="percent" val="0"/>
        <cfvo type="num" val="1"/>
        <cfvo type="num" val="1"/>
      </iconSet>
    </cfRule>
  </conditionalFormatting>
  <conditionalFormatting sqref="J29">
    <cfRule type="iconSet" priority="1">
      <iconSet iconSet="3Symbols2" showValue="0">
        <cfvo type="percent" val="0"/>
        <cfvo type="num" val="1"/>
        <cfvo type="num" val="1"/>
      </iconSet>
    </cfRule>
  </conditionalFormatting>
  <pageMargins left="0.6692913385826772" right="0.23622047244094491" top="0.74803149606299213" bottom="0.74803149606299213" header="0.31496062992125984" footer="0.31496062992125984"/>
  <pageSetup scale="55"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tabColor rgb="FF29F72E"/>
  </sheetPr>
  <dimension ref="A1:O40"/>
  <sheetViews>
    <sheetView showGridLines="0" showZeros="0" zoomScale="70" zoomScaleNormal="70" workbookViewId="0">
      <selection activeCell="D29" sqref="D29"/>
    </sheetView>
  </sheetViews>
  <sheetFormatPr baseColWidth="10" defaultColWidth="11.42578125" defaultRowHeight="15"/>
  <cols>
    <col min="7" max="7" width="17.7109375" customWidth="1" collapsed="1"/>
  </cols>
  <sheetData>
    <row r="1" spans="1:10">
      <c r="G1" s="178" t="str">
        <f>+FORMULARIO!C10</f>
        <v/>
      </c>
    </row>
    <row r="2" spans="1:10">
      <c r="G2" s="177" t="str">
        <f>+IF(G1="AUTOMARKET PANAMA, S.A.","R.U.C. 1466461-1-641048 DV 30",IF(G1="PANAMA CAR RENTAL, S.A.","R.U.C. 419758-1-427175 DV 97",""))</f>
        <v/>
      </c>
    </row>
    <row r="3" spans="1:10">
      <c r="G3" s="177" t="s">
        <v>59</v>
      </c>
      <c r="J3" t="s">
        <v>1759</v>
      </c>
    </row>
    <row r="4" spans="1:10">
      <c r="G4" s="177" t="s">
        <v>68</v>
      </c>
    </row>
    <row r="5" spans="1:10">
      <c r="G5" s="177" t="s">
        <v>60</v>
      </c>
    </row>
    <row r="6" spans="1:10" ht="15" customHeight="1">
      <c r="F6" s="23"/>
      <c r="G6" s="177" t="s">
        <v>61</v>
      </c>
    </row>
    <row r="7" spans="1:10">
      <c r="A7" s="20" t="s">
        <v>52</v>
      </c>
    </row>
    <row r="8" spans="1:10" ht="15.75">
      <c r="A8" s="21" t="s">
        <v>53</v>
      </c>
    </row>
    <row r="9" spans="1:10" ht="15.75">
      <c r="A9" s="21" t="s">
        <v>54</v>
      </c>
    </row>
    <row r="10" spans="1:10" ht="15.75">
      <c r="A10" s="21"/>
    </row>
    <row r="11" spans="1:10">
      <c r="A11" s="20"/>
    </row>
    <row r="12" spans="1:10">
      <c r="A12" s="19"/>
    </row>
    <row r="13" spans="1:10">
      <c r="A13" s="19" t="s">
        <v>55</v>
      </c>
    </row>
    <row r="14" spans="1:10">
      <c r="A14" s="19"/>
    </row>
    <row r="15" spans="1:10">
      <c r="A15" s="19"/>
    </row>
    <row r="16" spans="1:10" ht="63" customHeight="1">
      <c r="A16" s="764" t="s">
        <v>1450</v>
      </c>
      <c r="B16" s="764"/>
      <c r="C16" s="764"/>
      <c r="D16" s="764"/>
      <c r="E16" s="764"/>
      <c r="F16" s="764"/>
      <c r="G16" s="764"/>
    </row>
    <row r="17" spans="1:3">
      <c r="A17" s="19"/>
    </row>
    <row r="18" spans="1:3">
      <c r="A18" s="19"/>
    </row>
    <row r="19" spans="1:3">
      <c r="A19" s="19" t="s">
        <v>63</v>
      </c>
      <c r="B19" s="749">
        <f>+'PORTADA FILE VENTAS'!C6</f>
        <v>0</v>
      </c>
      <c r="C19" s="749"/>
    </row>
    <row r="20" spans="1:3">
      <c r="A20" s="19" t="s">
        <v>62</v>
      </c>
      <c r="B20" s="750">
        <f>+'PORTADA FILE VENTAS'!C7</f>
        <v>0</v>
      </c>
      <c r="C20" s="750"/>
    </row>
    <row r="21" spans="1:3">
      <c r="A21" s="19" t="s">
        <v>64</v>
      </c>
      <c r="B21" s="750">
        <f>+FORMULARIO!C23</f>
        <v>0</v>
      </c>
      <c r="C21" s="750"/>
    </row>
    <row r="22" spans="1:3">
      <c r="A22" s="19" t="s">
        <v>42</v>
      </c>
      <c r="B22" s="750">
        <f>+'PORTADA FILE VENTAS'!C8</f>
        <v>0</v>
      </c>
      <c r="C22" s="750"/>
    </row>
    <row r="23" spans="1:3">
      <c r="A23" s="19" t="s">
        <v>34</v>
      </c>
      <c r="B23" s="750">
        <f>+'PORTADA FILE VENTAS'!C9</f>
        <v>0</v>
      </c>
      <c r="C23" s="750"/>
    </row>
    <row r="24" spans="1:3">
      <c r="A24" s="19" t="s">
        <v>65</v>
      </c>
      <c r="B24" s="763">
        <f>+'PORTADA FILE VENTAS'!C11</f>
        <v>0</v>
      </c>
      <c r="C24" s="763"/>
    </row>
    <row r="25" spans="1:3">
      <c r="A25" s="19" t="s">
        <v>66</v>
      </c>
      <c r="B25" s="763">
        <f>+'PORTADA FILE VENTAS'!C10</f>
        <v>0</v>
      </c>
      <c r="C25" s="763"/>
    </row>
    <row r="26" spans="1:3">
      <c r="A26" s="19" t="s">
        <v>67</v>
      </c>
      <c r="B26" s="661">
        <f>+'PORTADA FILE VENTAS'!C12</f>
        <v>0</v>
      </c>
      <c r="C26" s="661"/>
    </row>
    <row r="27" spans="1:3">
      <c r="A27" s="19"/>
    </row>
    <row r="28" spans="1:3">
      <c r="A28" s="19" t="s">
        <v>56</v>
      </c>
    </row>
    <row r="29" spans="1:3">
      <c r="A29" s="19"/>
    </row>
    <row r="30" spans="1:3">
      <c r="A30" s="19" t="s">
        <v>57</v>
      </c>
    </row>
    <row r="31" spans="1:3">
      <c r="A31" s="22"/>
    </row>
    <row r="32" spans="1:3">
      <c r="A32" s="19"/>
    </row>
    <row r="33" spans="1:15">
      <c r="A33" s="19"/>
    </row>
    <row r="34" spans="1:15">
      <c r="A34" s="19" t="s">
        <v>58</v>
      </c>
    </row>
    <row r="35" spans="1:15">
      <c r="A35" s="22"/>
    </row>
    <row r="36" spans="1:15" ht="21">
      <c r="A36" s="746" t="s">
        <v>2217</v>
      </c>
      <c r="B36" s="747"/>
      <c r="C36" s="747"/>
      <c r="D36" s="747"/>
      <c r="E36" s="747"/>
      <c r="F36" s="747"/>
      <c r="G36" s="747"/>
      <c r="H36" s="206"/>
      <c r="I36" s="206"/>
      <c r="J36" s="206"/>
      <c r="K36" s="206"/>
      <c r="L36" s="206"/>
      <c r="M36" s="206"/>
      <c r="N36" s="206"/>
      <c r="O36" s="206"/>
    </row>
    <row r="37" spans="1:15">
      <c r="A37" s="748" t="s">
        <v>2202</v>
      </c>
      <c r="B37" s="748"/>
      <c r="C37" s="748"/>
      <c r="D37" s="748"/>
      <c r="E37" s="748"/>
      <c r="F37" s="748"/>
      <c r="G37" s="748"/>
    </row>
    <row r="38" spans="1:15">
      <c r="A38" s="748"/>
      <c r="B38" s="748"/>
      <c r="C38" s="748"/>
      <c r="D38" s="748"/>
      <c r="E38" s="748"/>
      <c r="F38" s="748"/>
      <c r="G38" s="748"/>
    </row>
    <row r="39" spans="1:15">
      <c r="A39" s="748"/>
      <c r="B39" s="748"/>
      <c r="C39" s="748"/>
      <c r="D39" s="748"/>
      <c r="E39" s="748"/>
      <c r="F39" s="748"/>
      <c r="G39" s="748"/>
    </row>
    <row r="40" spans="1:15">
      <c r="A40" s="748"/>
      <c r="B40" s="748"/>
      <c r="C40" s="748"/>
      <c r="D40" s="748"/>
      <c r="E40" s="748"/>
      <c r="F40" s="748"/>
      <c r="G40" s="748"/>
    </row>
  </sheetData>
  <mergeCells count="11">
    <mergeCell ref="B23:C23"/>
    <mergeCell ref="A16:G16"/>
    <mergeCell ref="B19:C19"/>
    <mergeCell ref="B20:C20"/>
    <mergeCell ref="B21:C21"/>
    <mergeCell ref="B22:C22"/>
    <mergeCell ref="A36:G36"/>
    <mergeCell ref="A37:G40"/>
    <mergeCell ref="B24:C24"/>
    <mergeCell ref="B25:C25"/>
    <mergeCell ref="B26:C26"/>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65CF8-FF64-4A87-B253-B0E240FC446A}">
  <dimension ref="A1"/>
  <sheetViews>
    <sheetView workbookViewId="0"/>
  </sheetViews>
  <sheetFormatPr baseColWidth="10" defaultRowHeight="1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C6DC-0509-4589-9D5B-81FAEB9386EC}">
  <dimension ref="A1"/>
  <sheetViews>
    <sheetView workbookViewId="0"/>
  </sheetViews>
  <sheetFormatPr baseColWidth="10" defaultRowHeight="1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tabColor theme="5" tint="0.39997558519241921"/>
  </sheetPr>
  <dimension ref="A1:K44"/>
  <sheetViews>
    <sheetView showGridLines="0" showZeros="0" topLeftCell="A16" zoomScaleNormal="100" workbookViewId="0">
      <selection activeCell="A40" sqref="A40:G44"/>
    </sheetView>
  </sheetViews>
  <sheetFormatPr baseColWidth="10" defaultColWidth="11.42578125" defaultRowHeight="15"/>
  <cols>
    <col min="7" max="7" width="17.7109375" customWidth="1" collapsed="1"/>
  </cols>
  <sheetData>
    <row r="1" spans="1:11">
      <c r="G1" s="178" t="str">
        <f>+FORMULARIO!C10</f>
        <v/>
      </c>
    </row>
    <row r="2" spans="1:11">
      <c r="G2" s="177" t="str">
        <f>+IF(G1="AUTOMARKET PANAMA, S.A.","R.U.C. 1466461-1-641048 DV 30",IF(G1="PANAMA CAR RENTAL, S.A.","R.U.C. 419758-1-427175 DV 97",""))</f>
        <v/>
      </c>
      <c r="K2" t="s">
        <v>1760</v>
      </c>
    </row>
    <row r="3" spans="1:11">
      <c r="G3" s="177" t="s">
        <v>59</v>
      </c>
    </row>
    <row r="4" spans="1:11">
      <c r="G4" s="177" t="s">
        <v>68</v>
      </c>
    </row>
    <row r="5" spans="1:11">
      <c r="G5" s="177" t="s">
        <v>60</v>
      </c>
    </row>
    <row r="6" spans="1:11" ht="15" customHeight="1">
      <c r="F6" s="23"/>
      <c r="G6" s="177" t="s">
        <v>61</v>
      </c>
    </row>
    <row r="7" spans="1:11" ht="21" customHeight="1"/>
    <row r="8" spans="1:11">
      <c r="A8" s="41"/>
      <c r="E8" s="177" t="str">
        <f>+IF(FORMULARIO!$C$13&gt;1,"Panamá,","")</f>
        <v/>
      </c>
      <c r="F8" s="757">
        <f>+FORMULARIO!$C$13</f>
        <v>0</v>
      </c>
      <c r="G8" s="757"/>
    </row>
    <row r="9" spans="1:11">
      <c r="A9" s="20"/>
    </row>
    <row r="10" spans="1:11">
      <c r="A10" s="20"/>
    </row>
    <row r="11" spans="1:11">
      <c r="A11" s="20" t="s">
        <v>52</v>
      </c>
    </row>
    <row r="12" spans="1:11" ht="15.75">
      <c r="A12" s="21" t="s">
        <v>90</v>
      </c>
    </row>
    <row r="13" spans="1:11" ht="15.75">
      <c r="A13" s="21" t="s">
        <v>89</v>
      </c>
    </row>
    <row r="14" spans="1:11" ht="15.75">
      <c r="A14" s="21"/>
    </row>
    <row r="15" spans="1:11">
      <c r="A15" s="20"/>
    </row>
    <row r="16" spans="1:11">
      <c r="A16" s="19"/>
    </row>
    <row r="17" spans="1:7">
      <c r="A17" s="19" t="s">
        <v>55</v>
      </c>
    </row>
    <row r="18" spans="1:7">
      <c r="A18" s="19"/>
    </row>
    <row r="19" spans="1:7">
      <c r="A19" s="19"/>
    </row>
    <row r="20" spans="1:7" ht="60" customHeight="1">
      <c r="A20" s="764" t="s">
        <v>1450</v>
      </c>
      <c r="B20" s="764"/>
      <c r="C20" s="764"/>
      <c r="D20" s="764"/>
      <c r="E20" s="764"/>
      <c r="F20" s="764"/>
      <c r="G20" s="764"/>
    </row>
    <row r="21" spans="1:7">
      <c r="A21" s="19"/>
    </row>
    <row r="22" spans="1:7">
      <c r="A22" s="19"/>
    </row>
    <row r="23" spans="1:7">
      <c r="A23" s="19" t="s">
        <v>63</v>
      </c>
      <c r="B23" s="749">
        <f>+FORMULARIO!C19</f>
        <v>0</v>
      </c>
      <c r="C23" s="749"/>
    </row>
    <row r="24" spans="1:7">
      <c r="A24" s="19" t="s">
        <v>62</v>
      </c>
      <c r="B24" s="750">
        <f>+FORMULARIO!C20</f>
        <v>0</v>
      </c>
      <c r="C24" s="750"/>
    </row>
    <row r="25" spans="1:7">
      <c r="A25" s="19" t="s">
        <v>64</v>
      </c>
      <c r="B25" s="750">
        <f>+FORMULARIO!C23</f>
        <v>0</v>
      </c>
      <c r="C25" s="750"/>
    </row>
    <row r="26" spans="1:7">
      <c r="A26" s="19" t="s">
        <v>42</v>
      </c>
      <c r="B26" s="750">
        <f>+FORMULARIO!C21</f>
        <v>0</v>
      </c>
      <c r="C26" s="750"/>
    </row>
    <row r="27" spans="1:7">
      <c r="A27" s="19" t="s">
        <v>34</v>
      </c>
      <c r="B27" s="750">
        <f>+FORMULARIO!C22</f>
        <v>0</v>
      </c>
      <c r="C27" s="750"/>
    </row>
    <row r="28" spans="1:7">
      <c r="A28" s="19" t="s">
        <v>65</v>
      </c>
      <c r="B28" s="763">
        <f>+FORMULARIO!C26</f>
        <v>0</v>
      </c>
      <c r="C28" s="763"/>
    </row>
    <row r="29" spans="1:7">
      <c r="A29" s="19" t="s">
        <v>66</v>
      </c>
      <c r="B29" s="763">
        <f>+FORMULARIO!C25</f>
        <v>0</v>
      </c>
      <c r="C29" s="763"/>
    </row>
    <row r="30" spans="1:7">
      <c r="A30" s="19" t="s">
        <v>67</v>
      </c>
      <c r="B30" s="661">
        <f>+FORMULARIO!C24</f>
        <v>0</v>
      </c>
      <c r="C30" s="661"/>
    </row>
    <row r="31" spans="1:7">
      <c r="A31" s="19"/>
    </row>
    <row r="32" spans="1:7">
      <c r="A32" s="19" t="s">
        <v>56</v>
      </c>
    </row>
    <row r="33" spans="1:7">
      <c r="A33" s="19"/>
    </row>
    <row r="34" spans="1:7">
      <c r="A34" s="19" t="s">
        <v>57</v>
      </c>
    </row>
    <row r="35" spans="1:7">
      <c r="A35" s="22"/>
    </row>
    <row r="36" spans="1:7">
      <c r="A36" s="19"/>
    </row>
    <row r="37" spans="1:7">
      <c r="A37" s="19"/>
    </row>
    <row r="38" spans="1:7">
      <c r="A38" s="19" t="s">
        <v>58</v>
      </c>
    </row>
    <row r="39" spans="1:7">
      <c r="A39" s="22"/>
    </row>
    <row r="40" spans="1:7">
      <c r="A40" s="746" t="s">
        <v>2217</v>
      </c>
      <c r="B40" s="747"/>
      <c r="C40" s="747"/>
      <c r="D40" s="747"/>
      <c r="E40" s="747"/>
      <c r="F40" s="747"/>
      <c r="G40" s="747"/>
    </row>
    <row r="41" spans="1:7">
      <c r="A41" s="748" t="s">
        <v>2202</v>
      </c>
      <c r="B41" s="748"/>
      <c r="C41" s="748"/>
      <c r="D41" s="748"/>
      <c r="E41" s="748"/>
      <c r="F41" s="748"/>
      <c r="G41" s="748"/>
    </row>
    <row r="42" spans="1:7">
      <c r="A42" s="748"/>
      <c r="B42" s="748"/>
      <c r="C42" s="748"/>
      <c r="D42" s="748"/>
      <c r="E42" s="748"/>
      <c r="F42" s="748"/>
      <c r="G42" s="748"/>
    </row>
    <row r="43" spans="1:7">
      <c r="A43" s="748"/>
      <c r="B43" s="748"/>
      <c r="C43" s="748"/>
      <c r="D43" s="748"/>
      <c r="E43" s="748"/>
      <c r="F43" s="748"/>
      <c r="G43" s="748"/>
    </row>
    <row r="44" spans="1:7">
      <c r="A44" s="748"/>
      <c r="B44" s="748"/>
      <c r="C44" s="748"/>
      <c r="D44" s="748"/>
      <c r="E44" s="748"/>
      <c r="F44" s="748"/>
      <c r="G44" s="748"/>
    </row>
  </sheetData>
  <mergeCells count="12">
    <mergeCell ref="A40:G40"/>
    <mergeCell ref="A41:G44"/>
    <mergeCell ref="F8:G8"/>
    <mergeCell ref="B29:C29"/>
    <mergeCell ref="B30:C30"/>
    <mergeCell ref="A20:G20"/>
    <mergeCell ref="B23:C23"/>
    <mergeCell ref="B24:C24"/>
    <mergeCell ref="B25:C25"/>
    <mergeCell ref="B26:C26"/>
    <mergeCell ref="B27:C27"/>
    <mergeCell ref="B28:C28"/>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tabColor rgb="FFFFFF00"/>
  </sheetPr>
  <dimension ref="A1:K41"/>
  <sheetViews>
    <sheetView showGridLines="0" showZeros="0" zoomScale="85" zoomScaleNormal="85" workbookViewId="0">
      <selection activeCell="C5" sqref="C5:G5"/>
    </sheetView>
  </sheetViews>
  <sheetFormatPr baseColWidth="10" defaultColWidth="11.42578125" defaultRowHeight="15"/>
  <cols>
    <col min="1" max="1" width="1.85546875" customWidth="1" collapsed="1"/>
    <col min="2" max="2" width="15" customWidth="1" collapsed="1"/>
    <col min="3" max="3" width="14" customWidth="1" collapsed="1"/>
    <col min="4" max="4" width="9.7109375" customWidth="1" collapsed="1"/>
    <col min="5" max="5" width="11.5703125" customWidth="1" collapsed="1"/>
    <col min="6" max="6" width="10.5703125" customWidth="1" collapsed="1"/>
    <col min="7" max="7" width="13" customWidth="1" collapsed="1"/>
    <col min="8" max="8" width="14.42578125" customWidth="1" collapsed="1"/>
    <col min="9" max="9" width="22.28515625" customWidth="1" collapsed="1"/>
    <col min="10" max="10" width="1.7109375" customWidth="1" collapsed="1"/>
  </cols>
  <sheetData>
    <row r="1" spans="1:11" ht="51.75" customHeight="1">
      <c r="A1" s="27"/>
      <c r="B1" s="28"/>
      <c r="C1" s="28"/>
      <c r="D1" s="28"/>
      <c r="E1" s="28"/>
      <c r="F1" s="28"/>
      <c r="G1" s="28"/>
      <c r="H1" s="28"/>
      <c r="I1" s="28"/>
      <c r="J1" s="29"/>
      <c r="K1" t="s">
        <v>1761</v>
      </c>
    </row>
    <row r="2" spans="1:11" ht="21">
      <c r="A2" s="30"/>
      <c r="B2" s="779" t="s">
        <v>1755</v>
      </c>
      <c r="C2" s="779"/>
      <c r="D2" s="779"/>
      <c r="E2" s="779"/>
      <c r="F2" s="779"/>
      <c r="G2" s="779"/>
      <c r="H2" s="779"/>
      <c r="I2" s="779"/>
      <c r="J2" s="31"/>
    </row>
    <row r="3" spans="1:11">
      <c r="A3" s="30"/>
      <c r="B3" s="758"/>
      <c r="C3" s="758"/>
      <c r="D3" s="758"/>
      <c r="E3" s="758"/>
      <c r="F3" s="758"/>
      <c r="G3" s="758"/>
      <c r="H3" s="758"/>
      <c r="I3" s="758"/>
      <c r="J3" s="31"/>
    </row>
    <row r="4" spans="1:11">
      <c r="A4" s="30"/>
      <c r="J4" s="31"/>
    </row>
    <row r="5" spans="1:11" ht="23.25" customHeight="1">
      <c r="A5" s="30"/>
      <c r="B5" s="173" t="s">
        <v>35</v>
      </c>
      <c r="C5" s="749" t="str">
        <f>+CONCATENATE(IF(FORMULARIO!C31="N/A","",FORMULARIO!C31)," ",IF(FORMULARIO!C32="N/A","",FORMULARIO!C32)," ",IF(FORMULARIO!C33="N/A","",FORMULARIO!C33)," ",IF(FORMULARIO!C34="N/A","",FORMULARIO!C34)," ",IF(FORMULARIO!C35="N/A","",FORMULARIO!C35))</f>
        <v xml:space="preserve">    </v>
      </c>
      <c r="D5" s="749"/>
      <c r="E5" s="749"/>
      <c r="F5" s="749"/>
      <c r="G5" s="749"/>
      <c r="H5" s="173" t="s">
        <v>39</v>
      </c>
      <c r="I5" s="170">
        <f>+FORMULARIO!C19</f>
        <v>0</v>
      </c>
      <c r="J5" s="31"/>
    </row>
    <row r="6" spans="1:11" ht="23.25" customHeight="1">
      <c r="A6" s="30"/>
      <c r="B6" s="173" t="s">
        <v>40</v>
      </c>
      <c r="C6" s="169">
        <f>+FORMULARIO!C20</f>
        <v>0</v>
      </c>
      <c r="D6" s="173" t="s">
        <v>42</v>
      </c>
      <c r="E6" s="169">
        <f>+FORMULARIO!C21</f>
        <v>0</v>
      </c>
      <c r="F6" s="173" t="s">
        <v>34</v>
      </c>
      <c r="G6" s="169">
        <f>+FORMULARIO!C22</f>
        <v>0</v>
      </c>
      <c r="H6" s="173" t="s">
        <v>167</v>
      </c>
      <c r="I6" s="169">
        <f>+FORMULARIO!C28</f>
        <v>0</v>
      </c>
      <c r="J6" s="31"/>
    </row>
    <row r="7" spans="1:11" ht="23.25" customHeight="1">
      <c r="A7" s="30"/>
      <c r="B7" s="173" t="s">
        <v>66</v>
      </c>
      <c r="C7" s="780">
        <f>+FORMULARIO!C25</f>
        <v>0</v>
      </c>
      <c r="D7" s="780"/>
      <c r="E7" s="65" t="s">
        <v>65</v>
      </c>
      <c r="F7" s="780">
        <f>+FORMULARIO!C26</f>
        <v>0</v>
      </c>
      <c r="G7" s="780"/>
      <c r="J7" s="31"/>
    </row>
    <row r="8" spans="1:11">
      <c r="A8" s="30"/>
      <c r="J8" s="31"/>
    </row>
    <row r="9" spans="1:11" ht="21.75" customHeight="1">
      <c r="A9" s="30"/>
      <c r="B9" s="758" t="s">
        <v>69</v>
      </c>
      <c r="C9" s="758"/>
      <c r="D9" s="749"/>
      <c r="E9" s="749"/>
      <c r="J9" s="31"/>
    </row>
    <row r="10" spans="1:11" ht="27" customHeight="1">
      <c r="A10" s="30"/>
      <c r="B10" s="443" t="s">
        <v>70</v>
      </c>
      <c r="C10" s="443"/>
      <c r="D10" s="765"/>
      <c r="E10" s="765"/>
      <c r="J10" s="31"/>
    </row>
    <row r="11" spans="1:11" ht="15.75" thickBot="1">
      <c r="A11" s="30"/>
      <c r="J11" s="31"/>
    </row>
    <row r="12" spans="1:11" ht="15.75" thickBot="1">
      <c r="A12" s="30"/>
      <c r="D12" s="766" t="s">
        <v>71</v>
      </c>
      <c r="E12" s="767"/>
      <c r="F12" s="767"/>
      <c r="G12" s="768"/>
      <c r="J12" s="31"/>
    </row>
    <row r="13" spans="1:11" ht="24" customHeight="1" thickBot="1">
      <c r="A13" s="30"/>
      <c r="D13" s="769">
        <f>+FORMULARIO!C14</f>
        <v>0</v>
      </c>
      <c r="E13" s="770"/>
      <c r="F13" s="770"/>
      <c r="G13" s="771"/>
      <c r="J13" s="31"/>
    </row>
    <row r="14" spans="1:11" ht="27" customHeight="1">
      <c r="A14" s="30"/>
      <c r="B14" s="173" t="s">
        <v>168</v>
      </c>
      <c r="C14" s="133"/>
      <c r="D14" s="25"/>
      <c r="E14" s="173" t="s">
        <v>70</v>
      </c>
      <c r="F14" s="25"/>
      <c r="G14" s="25"/>
      <c r="H14" s="6" t="s">
        <v>1454</v>
      </c>
      <c r="I14" s="35"/>
      <c r="J14" s="31"/>
    </row>
    <row r="15" spans="1:11" ht="27" customHeight="1">
      <c r="A15" s="30"/>
      <c r="B15" s="173" t="s">
        <v>168</v>
      </c>
      <c r="C15" s="133"/>
      <c r="D15" s="25"/>
      <c r="E15" s="173" t="s">
        <v>70</v>
      </c>
      <c r="F15" s="25"/>
      <c r="G15" s="25"/>
      <c r="H15" s="6" t="s">
        <v>1454</v>
      </c>
      <c r="I15" s="35"/>
      <c r="J15" s="31"/>
    </row>
    <row r="16" spans="1:11" ht="27" customHeight="1">
      <c r="A16" s="30"/>
      <c r="B16" s="173" t="s">
        <v>168</v>
      </c>
      <c r="C16" s="133"/>
      <c r="D16" s="25"/>
      <c r="E16" s="173" t="s">
        <v>70</v>
      </c>
      <c r="F16" s="25"/>
      <c r="G16" s="25"/>
      <c r="H16" s="6" t="s">
        <v>1454</v>
      </c>
      <c r="I16" s="35"/>
      <c r="J16" s="31"/>
    </row>
    <row r="17" spans="1:10" ht="27" customHeight="1">
      <c r="A17" s="30"/>
      <c r="B17" s="173" t="s">
        <v>168</v>
      </c>
      <c r="C17" s="133"/>
      <c r="D17" s="25"/>
      <c r="E17" s="173" t="s">
        <v>70</v>
      </c>
      <c r="F17" s="25"/>
      <c r="G17" s="25"/>
      <c r="H17" s="6" t="s">
        <v>1454</v>
      </c>
      <c r="I17" s="35"/>
      <c r="J17" s="31"/>
    </row>
    <row r="18" spans="1:10" ht="27" customHeight="1">
      <c r="A18" s="30"/>
      <c r="B18" s="173" t="s">
        <v>168</v>
      </c>
      <c r="C18" s="133"/>
      <c r="D18" s="25"/>
      <c r="E18" s="173" t="s">
        <v>70</v>
      </c>
      <c r="F18" s="25"/>
      <c r="G18" s="25"/>
      <c r="H18" s="6" t="s">
        <v>1454</v>
      </c>
      <c r="I18" s="35"/>
      <c r="J18" s="31"/>
    </row>
    <row r="19" spans="1:10" ht="27" customHeight="1">
      <c r="A19" s="30"/>
      <c r="B19" s="173" t="s">
        <v>168</v>
      </c>
      <c r="C19" s="133"/>
      <c r="D19" s="26"/>
      <c r="E19" s="173" t="s">
        <v>70</v>
      </c>
      <c r="F19" s="26"/>
      <c r="G19" s="25"/>
      <c r="H19" s="6" t="s">
        <v>1454</v>
      </c>
      <c r="I19" s="35"/>
      <c r="J19" s="31"/>
    </row>
    <row r="20" spans="1:10" ht="27" customHeight="1">
      <c r="A20" s="30"/>
      <c r="B20" s="173" t="s">
        <v>1707</v>
      </c>
      <c r="C20" s="133"/>
      <c r="D20" s="26"/>
      <c r="E20" s="173" t="s">
        <v>70</v>
      </c>
      <c r="F20" s="26"/>
      <c r="G20" s="25"/>
      <c r="H20" s="6" t="s">
        <v>1708</v>
      </c>
      <c r="I20" s="35"/>
      <c r="J20" s="31"/>
    </row>
    <row r="21" spans="1:10" ht="27" customHeight="1">
      <c r="A21" s="30"/>
      <c r="B21" s="772" t="s">
        <v>169</v>
      </c>
      <c r="C21" s="772"/>
      <c r="D21" s="25"/>
      <c r="E21" s="173" t="s">
        <v>70</v>
      </c>
      <c r="F21" s="25"/>
      <c r="G21" s="25"/>
      <c r="H21" s="173"/>
      <c r="J21" s="31"/>
    </row>
    <row r="22" spans="1:10" ht="11.25" customHeight="1">
      <c r="A22" s="30"/>
      <c r="J22" s="31"/>
    </row>
    <row r="23" spans="1:10" ht="24.75" customHeight="1" thickBot="1">
      <c r="A23" s="30"/>
      <c r="E23" s="173" t="s">
        <v>72</v>
      </c>
      <c r="F23" s="773">
        <f>SUM(I13:I21)</f>
        <v>0</v>
      </c>
      <c r="G23" s="773"/>
      <c r="J23" s="31"/>
    </row>
    <row r="24" spans="1:10" ht="15.75" thickTop="1">
      <c r="A24" s="30"/>
      <c r="J24" s="31"/>
    </row>
    <row r="25" spans="1:10" ht="26.25" customHeight="1">
      <c r="A25" s="774" t="s">
        <v>166</v>
      </c>
      <c r="B25" s="775"/>
      <c r="C25" s="775"/>
      <c r="D25" s="775"/>
      <c r="E25" s="775"/>
      <c r="F25" s="775"/>
      <c r="G25" s="775"/>
      <c r="H25" s="775"/>
      <c r="I25" s="775"/>
      <c r="J25" s="31"/>
    </row>
    <row r="26" spans="1:10" ht="26.25" customHeight="1">
      <c r="A26" s="171"/>
      <c r="B26" s="172"/>
      <c r="C26" s="172"/>
      <c r="D26" s="172"/>
      <c r="E26" s="172"/>
      <c r="F26" s="172"/>
      <c r="G26" s="172"/>
      <c r="H26" s="172"/>
      <c r="I26" s="172"/>
      <c r="J26" s="31"/>
    </row>
    <row r="27" spans="1:10" ht="15.75" thickBot="1">
      <c r="A27" s="30"/>
      <c r="B27" s="24" t="s">
        <v>73</v>
      </c>
      <c r="C27" s="25"/>
      <c r="J27" s="31"/>
    </row>
    <row r="28" spans="1:10">
      <c r="A28" s="30"/>
      <c r="B28" s="59" t="s">
        <v>76</v>
      </c>
      <c r="C28" s="26"/>
      <c r="D28" s="38"/>
      <c r="E28" s="59" t="s">
        <v>170</v>
      </c>
      <c r="F28" s="26"/>
      <c r="G28" s="26"/>
      <c r="H28" s="60" t="s">
        <v>70</v>
      </c>
      <c r="I28" s="36"/>
      <c r="J28" s="31"/>
    </row>
    <row r="29" spans="1:10">
      <c r="A29" s="30"/>
      <c r="B29" s="776"/>
      <c r="C29" s="776"/>
      <c r="D29" s="776"/>
      <c r="E29" s="776"/>
      <c r="F29" s="776"/>
      <c r="G29" s="776"/>
      <c r="H29" s="777"/>
      <c r="I29" s="37"/>
      <c r="J29" s="31"/>
    </row>
    <row r="30" spans="1:10" ht="15.75" thickBot="1">
      <c r="A30" s="30"/>
      <c r="B30" s="776"/>
      <c r="C30" s="776"/>
      <c r="D30" s="776"/>
      <c r="E30" s="776"/>
      <c r="F30" s="776"/>
      <c r="G30" s="776"/>
      <c r="H30" s="777"/>
      <c r="I30" s="37"/>
      <c r="J30" s="31"/>
    </row>
    <row r="31" spans="1:10" ht="15.75" thickBot="1">
      <c r="A31" s="30"/>
      <c r="H31" s="173" t="s">
        <v>75</v>
      </c>
      <c r="I31" s="175">
        <f>SUM(I28:I30)</f>
        <v>0</v>
      </c>
      <c r="J31" s="31"/>
    </row>
    <row r="32" spans="1:10" ht="26.25" customHeight="1">
      <c r="A32" s="30"/>
      <c r="B32" s="6" t="s">
        <v>74</v>
      </c>
      <c r="C32" s="749">
        <f>+FORMULARIO!C15</f>
        <v>0</v>
      </c>
      <c r="D32" s="749"/>
      <c r="E32" s="749"/>
      <c r="G32" s="173" t="s">
        <v>1347</v>
      </c>
      <c r="H32" s="778"/>
      <c r="I32" s="778"/>
      <c r="J32" s="31"/>
    </row>
    <row r="33" spans="1:10" ht="24.75" customHeight="1">
      <c r="A33" s="30"/>
      <c r="B33" s="6" t="s">
        <v>171</v>
      </c>
      <c r="D33" s="749" t="str">
        <f>+FORMULARIO!C16</f>
        <v/>
      </c>
      <c r="E33" s="749"/>
      <c r="F33" s="749"/>
      <c r="G33" s="173" t="s">
        <v>1348</v>
      </c>
      <c r="H33" s="174"/>
      <c r="I33" s="174"/>
      <c r="J33" s="31"/>
    </row>
    <row r="34" spans="1:10" ht="13.5" customHeight="1">
      <c r="A34" s="30"/>
      <c r="J34" s="31"/>
    </row>
    <row r="35" spans="1:10" ht="15.75" thickBot="1">
      <c r="A35" s="32"/>
      <c r="B35" s="33"/>
      <c r="C35" s="33"/>
      <c r="D35" s="33"/>
      <c r="E35" s="33"/>
      <c r="F35" s="33"/>
      <c r="G35" s="33"/>
      <c r="H35" s="33"/>
      <c r="I35" s="33"/>
      <c r="J35" s="34"/>
    </row>
    <row r="37" spans="1:10">
      <c r="A37" s="746" t="s">
        <v>2217</v>
      </c>
      <c r="B37" s="747"/>
      <c r="C37" s="747"/>
      <c r="D37" s="747"/>
      <c r="E37" s="747"/>
      <c r="F37" s="747"/>
      <c r="G37" s="747"/>
      <c r="H37" s="747"/>
      <c r="I37" s="747"/>
      <c r="J37" s="747"/>
    </row>
    <row r="38" spans="1:10" ht="15" customHeight="1">
      <c r="A38" s="748" t="s">
        <v>2202</v>
      </c>
      <c r="B38" s="748"/>
      <c r="C38" s="748"/>
      <c r="D38" s="748"/>
      <c r="E38" s="748"/>
      <c r="F38" s="748"/>
      <c r="G38" s="748"/>
      <c r="H38" s="748"/>
      <c r="I38" s="748"/>
    </row>
    <row r="39" spans="1:10">
      <c r="A39" s="748"/>
      <c r="B39" s="748"/>
      <c r="C39" s="748"/>
      <c r="D39" s="748"/>
      <c r="E39" s="748"/>
      <c r="F39" s="748"/>
      <c r="G39" s="748"/>
      <c r="H39" s="748"/>
      <c r="I39" s="748"/>
    </row>
    <row r="40" spans="1:10">
      <c r="A40" s="748"/>
      <c r="B40" s="748"/>
      <c r="C40" s="748"/>
      <c r="D40" s="748"/>
      <c r="E40" s="748"/>
      <c r="F40" s="748"/>
      <c r="G40" s="748"/>
      <c r="H40" s="748"/>
      <c r="I40" s="748"/>
    </row>
    <row r="41" spans="1:10">
      <c r="A41" s="748"/>
      <c r="B41" s="748"/>
      <c r="C41" s="748"/>
      <c r="D41" s="748"/>
      <c r="E41" s="748"/>
      <c r="F41" s="748"/>
      <c r="G41" s="748"/>
      <c r="H41" s="748"/>
      <c r="I41" s="748"/>
    </row>
  </sheetData>
  <mergeCells count="21">
    <mergeCell ref="B9:C9"/>
    <mergeCell ref="D9:E9"/>
    <mergeCell ref="B2:I2"/>
    <mergeCell ref="B3:I3"/>
    <mergeCell ref="C5:G5"/>
    <mergeCell ref="C7:D7"/>
    <mergeCell ref="F7:G7"/>
    <mergeCell ref="A38:I41"/>
    <mergeCell ref="A37:J37"/>
    <mergeCell ref="D33:F33"/>
    <mergeCell ref="B10:C10"/>
    <mergeCell ref="D10:E10"/>
    <mergeCell ref="D12:G12"/>
    <mergeCell ref="D13:G13"/>
    <mergeCell ref="B21:C21"/>
    <mergeCell ref="F23:G23"/>
    <mergeCell ref="A25:I25"/>
    <mergeCell ref="B29:H29"/>
    <mergeCell ref="B30:H30"/>
    <mergeCell ref="C32:E32"/>
    <mergeCell ref="H32:I32"/>
  </mergeCells>
  <printOptions horizontalCentered="1"/>
  <pageMargins left="0.37" right="0.27559055118110237" top="0.74803149606299213" bottom="0.74803149606299213" header="0.31496062992125984" footer="0.31496062992125984"/>
  <pageSetup scale="85"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AD411-B0BA-4B7A-AEBD-2C1404B31C28}">
  <dimension ref="A2:K256"/>
  <sheetViews>
    <sheetView topLeftCell="C23" workbookViewId="0">
      <selection activeCell="D10" sqref="D10"/>
    </sheetView>
  </sheetViews>
  <sheetFormatPr baseColWidth="10" defaultColWidth="9.140625" defaultRowHeight="15"/>
  <cols>
    <col min="2" max="2" width="34.28515625" customWidth="1"/>
    <col min="3" max="3" width="11.7109375" customWidth="1"/>
    <col min="4" max="4" width="34.7109375" customWidth="1"/>
    <col min="5" max="5" width="12.85546875" customWidth="1"/>
    <col min="6" max="6" width="30" customWidth="1"/>
    <col min="7" max="7" width="18.28515625" customWidth="1"/>
    <col min="8" max="8" width="22.5703125" customWidth="1"/>
    <col min="9" max="9" width="15.85546875" customWidth="1"/>
  </cols>
  <sheetData>
    <row r="2" spans="1:10">
      <c r="A2" s="6" t="s">
        <v>1765</v>
      </c>
      <c r="C2" s="6" t="s">
        <v>2025</v>
      </c>
      <c r="E2" s="6" t="s">
        <v>2122</v>
      </c>
      <c r="G2" s="6" t="s">
        <v>2139</v>
      </c>
      <c r="I2" s="6" t="s">
        <v>2123</v>
      </c>
      <c r="J2" t="s">
        <v>2125</v>
      </c>
    </row>
    <row r="3" spans="1:10">
      <c r="B3" t="s">
        <v>1766</v>
      </c>
      <c r="D3" t="s">
        <v>2026</v>
      </c>
      <c r="F3" s="251" t="s">
        <v>2051</v>
      </c>
      <c r="G3" s="251"/>
      <c r="H3" s="251" t="s">
        <v>2060</v>
      </c>
      <c r="J3" t="s">
        <v>2126</v>
      </c>
    </row>
    <row r="4" spans="1:10">
      <c r="B4" t="s">
        <v>1767</v>
      </c>
      <c r="D4" t="s">
        <v>2027</v>
      </c>
      <c r="F4" s="251" t="s">
        <v>2052</v>
      </c>
      <c r="G4" s="251"/>
      <c r="H4" s="251" t="s">
        <v>2140</v>
      </c>
      <c r="J4" t="s">
        <v>2127</v>
      </c>
    </row>
    <row r="5" spans="1:10">
      <c r="F5" s="251" t="s">
        <v>2053</v>
      </c>
      <c r="G5" s="251"/>
      <c r="H5" s="251" t="s">
        <v>2141</v>
      </c>
      <c r="J5" t="s">
        <v>2128</v>
      </c>
    </row>
    <row r="6" spans="1:10">
      <c r="A6" s="6" t="s">
        <v>1769</v>
      </c>
      <c r="C6" s="6" t="s">
        <v>2038</v>
      </c>
      <c r="F6" s="251" t="s">
        <v>2054</v>
      </c>
      <c r="G6" s="251"/>
      <c r="H6" s="251" t="s">
        <v>2142</v>
      </c>
      <c r="J6" t="s">
        <v>2131</v>
      </c>
    </row>
    <row r="7" spans="1:10">
      <c r="B7" t="s">
        <v>1770</v>
      </c>
      <c r="D7" t="s">
        <v>2039</v>
      </c>
      <c r="F7" s="251" t="s">
        <v>2055</v>
      </c>
      <c r="G7" s="251"/>
      <c r="H7" s="251" t="s">
        <v>2087</v>
      </c>
      <c r="J7" t="s">
        <v>2129</v>
      </c>
    </row>
    <row r="8" spans="1:10">
      <c r="B8" t="s">
        <v>1771</v>
      </c>
      <c r="D8" t="s">
        <v>2040</v>
      </c>
      <c r="F8" s="251" t="s">
        <v>2056</v>
      </c>
      <c r="G8" s="251"/>
      <c r="H8" s="251"/>
      <c r="J8" t="s">
        <v>2294</v>
      </c>
    </row>
    <row r="9" spans="1:10">
      <c r="D9" t="s">
        <v>2380</v>
      </c>
      <c r="F9" s="251" t="s">
        <v>2057</v>
      </c>
      <c r="G9" s="248" t="s">
        <v>2148</v>
      </c>
      <c r="H9" s="251"/>
      <c r="J9" t="s">
        <v>2130</v>
      </c>
    </row>
    <row r="10" spans="1:10">
      <c r="F10" s="251" t="s">
        <v>2058</v>
      </c>
      <c r="G10" s="251"/>
      <c r="H10" s="251" t="s">
        <v>2149</v>
      </c>
      <c r="J10" t="s">
        <v>2124</v>
      </c>
    </row>
    <row r="11" spans="1:10">
      <c r="A11" s="6" t="s">
        <v>1773</v>
      </c>
      <c r="C11" s="6" t="s">
        <v>2041</v>
      </c>
      <c r="F11" s="251" t="s">
        <v>2059</v>
      </c>
      <c r="G11" s="251"/>
      <c r="H11" s="251" t="s">
        <v>2150</v>
      </c>
    </row>
    <row r="12" spans="1:10">
      <c r="B12" s="249" t="s">
        <v>1774</v>
      </c>
      <c r="D12" s="8" t="s">
        <v>2042</v>
      </c>
      <c r="F12" s="251" t="s">
        <v>2060</v>
      </c>
      <c r="G12" s="251"/>
      <c r="H12" s="251" t="s">
        <v>2151</v>
      </c>
    </row>
    <row r="13" spans="1:10">
      <c r="B13" s="249" t="s">
        <v>1775</v>
      </c>
      <c r="D13" s="8" t="s">
        <v>2043</v>
      </c>
      <c r="F13" s="251" t="s">
        <v>2061</v>
      </c>
      <c r="G13" s="251"/>
      <c r="H13" s="251" t="s">
        <v>2152</v>
      </c>
      <c r="I13" s="6" t="s">
        <v>2132</v>
      </c>
      <c r="J13" t="s">
        <v>2133</v>
      </c>
    </row>
    <row r="14" spans="1:10">
      <c r="B14" s="249" t="s">
        <v>1776</v>
      </c>
      <c r="D14" s="8" t="s">
        <v>2044</v>
      </c>
      <c r="F14" s="251" t="s">
        <v>2062</v>
      </c>
      <c r="G14" s="251"/>
      <c r="H14" s="251" t="s">
        <v>2153</v>
      </c>
      <c r="J14" t="s">
        <v>2134</v>
      </c>
    </row>
    <row r="15" spans="1:10">
      <c r="B15" s="249" t="s">
        <v>1777</v>
      </c>
      <c r="D15" s="8" t="s">
        <v>2045</v>
      </c>
      <c r="F15" s="251" t="s">
        <v>2063</v>
      </c>
      <c r="G15" s="251"/>
      <c r="H15" s="251" t="s">
        <v>2154</v>
      </c>
      <c r="J15" t="s">
        <v>2135</v>
      </c>
    </row>
    <row r="16" spans="1:10">
      <c r="B16" s="249" t="s">
        <v>1778</v>
      </c>
      <c r="D16" s="8" t="s">
        <v>2046</v>
      </c>
      <c r="F16" s="251" t="s">
        <v>2064</v>
      </c>
      <c r="G16" s="251"/>
      <c r="H16" s="251" t="s">
        <v>2155</v>
      </c>
      <c r="J16" t="s">
        <v>2136</v>
      </c>
    </row>
    <row r="17" spans="2:11">
      <c r="B17" s="249" t="s">
        <v>1779</v>
      </c>
      <c r="D17" s="8" t="s">
        <v>2047</v>
      </c>
      <c r="F17" s="251" t="s">
        <v>2065</v>
      </c>
      <c r="G17" s="251"/>
      <c r="H17" s="251" t="s">
        <v>2156</v>
      </c>
      <c r="J17" t="s">
        <v>2137</v>
      </c>
    </row>
    <row r="18" spans="2:11">
      <c r="B18" s="249" t="s">
        <v>1780</v>
      </c>
      <c r="D18" s="8" t="s">
        <v>2048</v>
      </c>
      <c r="F18" s="251" t="s">
        <v>2066</v>
      </c>
      <c r="G18" s="251"/>
      <c r="H18" s="251" t="s">
        <v>2157</v>
      </c>
      <c r="J18" t="s">
        <v>2138</v>
      </c>
    </row>
    <row r="19" spans="2:11">
      <c r="B19" s="249" t="s">
        <v>1781</v>
      </c>
      <c r="D19" s="8" t="s">
        <v>2049</v>
      </c>
      <c r="F19" s="251" t="s">
        <v>2067</v>
      </c>
      <c r="G19" s="251"/>
      <c r="H19" s="251"/>
      <c r="J19" t="s">
        <v>2380</v>
      </c>
    </row>
    <row r="20" spans="2:11">
      <c r="B20" s="249" t="s">
        <v>1782</v>
      </c>
      <c r="D20" s="8" t="s">
        <v>2050</v>
      </c>
      <c r="F20" s="251" t="s">
        <v>2068</v>
      </c>
      <c r="G20" s="251"/>
      <c r="H20" s="251"/>
      <c r="J20" t="s">
        <v>2381</v>
      </c>
    </row>
    <row r="21" spans="2:11">
      <c r="B21" s="249" t="s">
        <v>1783</v>
      </c>
      <c r="F21" s="251" t="s">
        <v>2069</v>
      </c>
      <c r="G21" s="248" t="s">
        <v>2199</v>
      </c>
      <c r="H21" s="251"/>
    </row>
    <row r="22" spans="2:11">
      <c r="B22" s="249" t="s">
        <v>1784</v>
      </c>
      <c r="F22" s="251" t="s">
        <v>2070</v>
      </c>
      <c r="G22" s="251"/>
      <c r="H22" s="251" t="s">
        <v>2185</v>
      </c>
      <c r="I22" s="6" t="s">
        <v>2268</v>
      </c>
      <c r="K22" t="s">
        <v>2270</v>
      </c>
    </row>
    <row r="23" spans="2:11">
      <c r="B23" s="249" t="s">
        <v>1785</v>
      </c>
      <c r="C23" s="6" t="s">
        <v>2206</v>
      </c>
      <c r="F23" s="251" t="s">
        <v>2071</v>
      </c>
      <c r="G23" s="251"/>
      <c r="H23" s="251" t="s">
        <v>2186</v>
      </c>
      <c r="K23" t="s">
        <v>2273</v>
      </c>
    </row>
    <row r="24" spans="2:11">
      <c r="B24" s="249" t="s">
        <v>1786</v>
      </c>
      <c r="D24" t="s">
        <v>2213</v>
      </c>
      <c r="F24" s="251" t="s">
        <v>2072</v>
      </c>
      <c r="G24" s="251"/>
      <c r="H24" s="251" t="s">
        <v>2188</v>
      </c>
      <c r="K24" t="s">
        <v>2272</v>
      </c>
    </row>
    <row r="25" spans="2:11">
      <c r="B25" s="249" t="s">
        <v>1787</v>
      </c>
      <c r="D25" t="s">
        <v>2214</v>
      </c>
      <c r="F25" s="251" t="s">
        <v>2073</v>
      </c>
      <c r="G25" s="251"/>
      <c r="H25" s="251" t="s">
        <v>2187</v>
      </c>
      <c r="K25" t="s">
        <v>2344</v>
      </c>
    </row>
    <row r="26" spans="2:11">
      <c r="B26" s="249" t="s">
        <v>1788</v>
      </c>
      <c r="D26" t="s">
        <v>2215</v>
      </c>
      <c r="F26" s="251" t="s">
        <v>2074</v>
      </c>
      <c r="G26" s="251"/>
      <c r="H26" s="251" t="s">
        <v>2194</v>
      </c>
      <c r="K26" t="s">
        <v>2269</v>
      </c>
    </row>
    <row r="27" spans="2:11">
      <c r="B27" s="249" t="s">
        <v>1789</v>
      </c>
      <c r="F27" s="251" t="s">
        <v>2075</v>
      </c>
      <c r="G27" s="251"/>
      <c r="H27" s="251" t="s">
        <v>2173</v>
      </c>
      <c r="K27" t="s">
        <v>2271</v>
      </c>
    </row>
    <row r="28" spans="2:11">
      <c r="B28" s="249" t="s">
        <v>1790</v>
      </c>
      <c r="C28" t="s">
        <v>2299</v>
      </c>
      <c r="F28" s="251" t="s">
        <v>2076</v>
      </c>
      <c r="G28" s="251"/>
      <c r="H28" s="251" t="s">
        <v>2175</v>
      </c>
      <c r="K28" t="s">
        <v>2345</v>
      </c>
    </row>
    <row r="29" spans="2:11">
      <c r="B29" s="249" t="s">
        <v>1791</v>
      </c>
      <c r="D29" t="s">
        <v>2301</v>
      </c>
      <c r="F29" s="251" t="s">
        <v>2077</v>
      </c>
      <c r="G29" s="251"/>
      <c r="H29" s="251" t="s">
        <v>2179</v>
      </c>
    </row>
    <row r="30" spans="2:11">
      <c r="B30" s="249" t="s">
        <v>1792</v>
      </c>
      <c r="D30" t="s">
        <v>2302</v>
      </c>
      <c r="F30" s="251" t="s">
        <v>2078</v>
      </c>
      <c r="G30" s="251"/>
      <c r="H30" s="251" t="s">
        <v>2177</v>
      </c>
    </row>
    <row r="31" spans="2:11">
      <c r="B31" s="249" t="s">
        <v>1793</v>
      </c>
      <c r="F31" s="251" t="s">
        <v>2079</v>
      </c>
      <c r="G31" s="251"/>
      <c r="H31" s="251" t="s">
        <v>2182</v>
      </c>
    </row>
    <row r="32" spans="2:11">
      <c r="B32" s="249" t="s">
        <v>1794</v>
      </c>
      <c r="C32" t="s">
        <v>2300</v>
      </c>
      <c r="F32" s="251" t="s">
        <v>2080</v>
      </c>
      <c r="G32" s="251"/>
      <c r="H32" s="251" t="s">
        <v>2192</v>
      </c>
    </row>
    <row r="33" spans="2:8">
      <c r="B33" s="249" t="s">
        <v>1795</v>
      </c>
      <c r="D33" t="s">
        <v>521</v>
      </c>
      <c r="F33" s="251" t="s">
        <v>2081</v>
      </c>
      <c r="G33" s="251"/>
      <c r="H33" s="251" t="s">
        <v>2183</v>
      </c>
    </row>
    <row r="34" spans="2:8">
      <c r="B34" s="249" t="s">
        <v>1796</v>
      </c>
      <c r="D34" t="s">
        <v>2302</v>
      </c>
      <c r="F34" s="251" t="s">
        <v>2082</v>
      </c>
      <c r="G34" s="251"/>
      <c r="H34" s="251" t="s">
        <v>2193</v>
      </c>
    </row>
    <row r="35" spans="2:8">
      <c r="B35" s="249" t="s">
        <v>1797</v>
      </c>
      <c r="F35" s="251" t="s">
        <v>2083</v>
      </c>
      <c r="G35" s="251"/>
      <c r="H35" s="251" t="s">
        <v>2181</v>
      </c>
    </row>
    <row r="36" spans="2:8">
      <c r="B36" s="249" t="s">
        <v>1798</v>
      </c>
      <c r="C36" t="s">
        <v>2307</v>
      </c>
      <c r="F36" s="251" t="s">
        <v>2084</v>
      </c>
      <c r="G36" s="251"/>
      <c r="H36" s="251" t="s">
        <v>2169</v>
      </c>
    </row>
    <row r="37" spans="2:8">
      <c r="B37" s="249" t="s">
        <v>1799</v>
      </c>
      <c r="D37" t="s">
        <v>2310</v>
      </c>
      <c r="F37" s="251" t="s">
        <v>2085</v>
      </c>
      <c r="G37" s="251"/>
      <c r="H37" s="251" t="s">
        <v>2168</v>
      </c>
    </row>
    <row r="38" spans="2:8">
      <c r="B38" s="249" t="s">
        <v>1800</v>
      </c>
      <c r="D38" t="s">
        <v>2321</v>
      </c>
      <c r="F38" s="251" t="s">
        <v>2086</v>
      </c>
      <c r="G38" s="251"/>
      <c r="H38" s="251" t="s">
        <v>2166</v>
      </c>
    </row>
    <row r="39" spans="2:8">
      <c r="B39" s="249" t="s">
        <v>1801</v>
      </c>
      <c r="D39" t="s">
        <v>2311</v>
      </c>
      <c r="F39" s="251" t="s">
        <v>2087</v>
      </c>
      <c r="G39" s="251"/>
      <c r="H39" s="251" t="s">
        <v>2191</v>
      </c>
    </row>
    <row r="40" spans="2:8">
      <c r="B40" s="250" t="s">
        <v>2015</v>
      </c>
      <c r="D40" t="s">
        <v>2323</v>
      </c>
      <c r="F40" s="251" t="s">
        <v>2088</v>
      </c>
      <c r="G40" s="251"/>
      <c r="H40" s="251" t="s">
        <v>2190</v>
      </c>
    </row>
    <row r="41" spans="2:8">
      <c r="B41" s="249" t="s">
        <v>1802</v>
      </c>
      <c r="D41" t="s">
        <v>2320</v>
      </c>
      <c r="F41" s="251" t="s">
        <v>2089</v>
      </c>
      <c r="G41" s="251"/>
      <c r="H41" s="251" t="s">
        <v>2171</v>
      </c>
    </row>
    <row r="42" spans="2:8">
      <c r="B42" s="249" t="s">
        <v>1803</v>
      </c>
      <c r="D42" t="s">
        <v>2312</v>
      </c>
      <c r="F42" s="251" t="s">
        <v>2090</v>
      </c>
      <c r="G42" s="251"/>
      <c r="H42" s="251" t="s">
        <v>2189</v>
      </c>
    </row>
    <row r="43" spans="2:8">
      <c r="B43" s="249" t="s">
        <v>1804</v>
      </c>
      <c r="D43" t="s">
        <v>2303</v>
      </c>
      <c r="F43" s="251" t="s">
        <v>2091</v>
      </c>
      <c r="G43" s="251"/>
      <c r="H43" s="251" t="s">
        <v>2195</v>
      </c>
    </row>
    <row r="44" spans="2:8">
      <c r="B44" s="249" t="s">
        <v>1805</v>
      </c>
      <c r="D44" t="s">
        <v>2315</v>
      </c>
      <c r="F44" s="251" t="s">
        <v>2092</v>
      </c>
      <c r="G44" s="251"/>
      <c r="H44" s="251" t="s">
        <v>2174</v>
      </c>
    </row>
    <row r="45" spans="2:8">
      <c r="B45" s="249" t="s">
        <v>1806</v>
      </c>
      <c r="D45" t="s">
        <v>2318</v>
      </c>
      <c r="F45" s="251" t="s">
        <v>2093</v>
      </c>
      <c r="G45" s="251"/>
      <c r="H45" s="251" t="s">
        <v>2176</v>
      </c>
    </row>
    <row r="46" spans="2:8">
      <c r="B46" s="249" t="s">
        <v>2016</v>
      </c>
      <c r="D46" t="s">
        <v>2313</v>
      </c>
      <c r="F46" s="251" t="s">
        <v>2094</v>
      </c>
      <c r="G46" s="251"/>
      <c r="H46" s="251" t="s">
        <v>2180</v>
      </c>
    </row>
    <row r="47" spans="2:8">
      <c r="B47" s="249" t="s">
        <v>1807</v>
      </c>
      <c r="D47" t="s">
        <v>2304</v>
      </c>
      <c r="F47" s="251" t="s">
        <v>2095</v>
      </c>
      <c r="G47" s="251"/>
      <c r="H47" s="251" t="s">
        <v>2178</v>
      </c>
    </row>
    <row r="48" spans="2:8">
      <c r="B48" s="249" t="s">
        <v>1808</v>
      </c>
      <c r="D48" t="s">
        <v>2305</v>
      </c>
      <c r="F48" s="251" t="s">
        <v>2096</v>
      </c>
      <c r="G48" s="251"/>
      <c r="H48" s="251" t="s">
        <v>2197</v>
      </c>
    </row>
    <row r="49" spans="2:8">
      <c r="B49" s="249" t="s">
        <v>1809</v>
      </c>
      <c r="D49" t="s">
        <v>2317</v>
      </c>
      <c r="F49" s="251" t="s">
        <v>2097</v>
      </c>
      <c r="G49" s="251"/>
      <c r="H49" s="251" t="s">
        <v>2172</v>
      </c>
    </row>
    <row r="50" spans="2:8">
      <c r="B50" s="249" t="s">
        <v>1810</v>
      </c>
      <c r="D50" t="s">
        <v>2324</v>
      </c>
      <c r="F50" s="251" t="s">
        <v>2098</v>
      </c>
      <c r="G50" s="251"/>
      <c r="H50" s="251" t="s">
        <v>2196</v>
      </c>
    </row>
    <row r="51" spans="2:8">
      <c r="B51" s="249" t="s">
        <v>1811</v>
      </c>
      <c r="D51" t="s">
        <v>2319</v>
      </c>
      <c r="F51" s="251" t="s">
        <v>2099</v>
      </c>
      <c r="G51" s="251"/>
      <c r="H51" s="251" t="s">
        <v>2184</v>
      </c>
    </row>
    <row r="52" spans="2:8">
      <c r="B52" s="249" t="s">
        <v>1812</v>
      </c>
      <c r="D52" t="s">
        <v>2322</v>
      </c>
      <c r="F52" s="251" t="s">
        <v>2100</v>
      </c>
      <c r="G52" s="251"/>
      <c r="H52" s="251" t="s">
        <v>2170</v>
      </c>
    </row>
    <row r="53" spans="2:8">
      <c r="B53" s="249" t="s">
        <v>1813</v>
      </c>
      <c r="D53" t="s">
        <v>2306</v>
      </c>
      <c r="F53" s="251" t="s">
        <v>2101</v>
      </c>
      <c r="G53" s="251"/>
      <c r="H53" s="251" t="s">
        <v>2167</v>
      </c>
    </row>
    <row r="54" spans="2:8">
      <c r="B54" s="249" t="s">
        <v>1814</v>
      </c>
      <c r="D54" t="s">
        <v>2308</v>
      </c>
      <c r="F54" s="251" t="s">
        <v>2102</v>
      </c>
      <c r="G54" s="251"/>
      <c r="H54" s="251" t="s">
        <v>2198</v>
      </c>
    </row>
    <row r="55" spans="2:8">
      <c r="B55" s="249" t="s">
        <v>1815</v>
      </c>
      <c r="D55" t="s">
        <v>2316</v>
      </c>
      <c r="F55" s="251" t="s">
        <v>2103</v>
      </c>
      <c r="G55" s="251"/>
      <c r="H55" s="251"/>
    </row>
    <row r="56" spans="2:8">
      <c r="B56" s="249" t="s">
        <v>1816</v>
      </c>
      <c r="D56" t="s">
        <v>2314</v>
      </c>
      <c r="F56" s="251" t="s">
        <v>2104</v>
      </c>
      <c r="G56" s="251"/>
      <c r="H56" s="251"/>
    </row>
    <row r="57" spans="2:8">
      <c r="B57" s="249" t="s">
        <v>1817</v>
      </c>
      <c r="D57" t="s">
        <v>2309</v>
      </c>
      <c r="F57" s="251" t="s">
        <v>2105</v>
      </c>
      <c r="G57" s="251"/>
      <c r="H57" s="251"/>
    </row>
    <row r="58" spans="2:8">
      <c r="B58" s="249" t="s">
        <v>1818</v>
      </c>
      <c r="D58" t="s">
        <v>2325</v>
      </c>
      <c r="F58" s="251" t="s">
        <v>2106</v>
      </c>
      <c r="G58" s="251"/>
      <c r="H58" s="251"/>
    </row>
    <row r="59" spans="2:8">
      <c r="B59" s="250" t="s">
        <v>1819</v>
      </c>
      <c r="F59" s="251" t="s">
        <v>2107</v>
      </c>
      <c r="G59" s="251"/>
      <c r="H59" s="251"/>
    </row>
    <row r="60" spans="2:8">
      <c r="B60" s="249" t="s">
        <v>1820</v>
      </c>
      <c r="F60" s="251" t="s">
        <v>2108</v>
      </c>
      <c r="G60" s="251"/>
      <c r="H60" s="251"/>
    </row>
    <row r="61" spans="2:8">
      <c r="B61" s="249" t="s">
        <v>1821</v>
      </c>
      <c r="F61" s="251" t="s">
        <v>2109</v>
      </c>
      <c r="G61" s="251"/>
      <c r="H61" s="251"/>
    </row>
    <row r="62" spans="2:8">
      <c r="B62" s="249" t="s">
        <v>1822</v>
      </c>
      <c r="F62" s="251" t="s">
        <v>2110</v>
      </c>
      <c r="G62" s="251"/>
      <c r="H62" s="251"/>
    </row>
    <row r="63" spans="2:8">
      <c r="B63" s="249" t="s">
        <v>1823</v>
      </c>
      <c r="F63" s="251" t="s">
        <v>2111</v>
      </c>
      <c r="G63" s="251"/>
      <c r="H63" s="251"/>
    </row>
    <row r="64" spans="2:8">
      <c r="B64" s="249" t="s">
        <v>1824</v>
      </c>
      <c r="F64" s="251" t="s">
        <v>2112</v>
      </c>
      <c r="G64" s="251"/>
      <c r="H64" s="251"/>
    </row>
    <row r="65" spans="2:8">
      <c r="B65" s="249" t="s">
        <v>1825</v>
      </c>
      <c r="F65" s="251" t="s">
        <v>2113</v>
      </c>
      <c r="G65" s="251"/>
      <c r="H65" s="251"/>
    </row>
    <row r="66" spans="2:8">
      <c r="B66" s="249" t="s">
        <v>1826</v>
      </c>
      <c r="F66" s="251" t="s">
        <v>2114</v>
      </c>
      <c r="G66" s="251"/>
      <c r="H66" s="251"/>
    </row>
    <row r="67" spans="2:8">
      <c r="B67" s="249" t="s">
        <v>1827</v>
      </c>
      <c r="F67" s="251" t="s">
        <v>2115</v>
      </c>
      <c r="G67" s="251"/>
      <c r="H67" s="251"/>
    </row>
    <row r="68" spans="2:8">
      <c r="B68" s="249" t="s">
        <v>1828</v>
      </c>
      <c r="F68" s="251" t="s">
        <v>2116</v>
      </c>
      <c r="G68" s="251"/>
      <c r="H68" s="251"/>
    </row>
    <row r="69" spans="2:8">
      <c r="B69" s="249" t="s">
        <v>1829</v>
      </c>
      <c r="F69" s="251" t="s">
        <v>2117</v>
      </c>
      <c r="G69" s="251"/>
      <c r="H69" s="251"/>
    </row>
    <row r="70" spans="2:8">
      <c r="B70" s="249" t="s">
        <v>1830</v>
      </c>
      <c r="F70" s="251" t="s">
        <v>2118</v>
      </c>
      <c r="G70" s="251"/>
      <c r="H70" s="251"/>
    </row>
    <row r="71" spans="2:8">
      <c r="B71" s="249" t="s">
        <v>1831</v>
      </c>
      <c r="F71" s="251" t="s">
        <v>2119</v>
      </c>
      <c r="G71" s="251"/>
      <c r="H71" s="251"/>
    </row>
    <row r="72" spans="2:8">
      <c r="B72" s="249" t="s">
        <v>1832</v>
      </c>
      <c r="F72" s="251" t="s">
        <v>2120</v>
      </c>
      <c r="G72" s="251"/>
      <c r="H72" s="251"/>
    </row>
    <row r="73" spans="2:8">
      <c r="B73" s="249" t="s">
        <v>1833</v>
      </c>
      <c r="F73" s="251" t="s">
        <v>2121</v>
      </c>
      <c r="G73" s="251"/>
      <c r="H73" s="251"/>
    </row>
    <row r="74" spans="2:8">
      <c r="B74" s="249" t="s">
        <v>1834</v>
      </c>
    </row>
    <row r="75" spans="2:8">
      <c r="B75" s="249" t="s">
        <v>1835</v>
      </c>
    </row>
    <row r="76" spans="2:8">
      <c r="B76" s="249" t="s">
        <v>1836</v>
      </c>
    </row>
    <row r="77" spans="2:8">
      <c r="B77" s="249" t="s">
        <v>1837</v>
      </c>
    </row>
    <row r="78" spans="2:8">
      <c r="B78" s="249" t="s">
        <v>1838</v>
      </c>
    </row>
    <row r="79" spans="2:8">
      <c r="B79" s="249" t="s">
        <v>1839</v>
      </c>
    </row>
    <row r="80" spans="2:8">
      <c r="B80" s="249" t="s">
        <v>1840</v>
      </c>
    </row>
    <row r="81" spans="2:2">
      <c r="B81" s="249" t="s">
        <v>1841</v>
      </c>
    </row>
    <row r="82" spans="2:2">
      <c r="B82" s="249" t="s">
        <v>1842</v>
      </c>
    </row>
    <row r="83" spans="2:2">
      <c r="B83" s="249" t="s">
        <v>1843</v>
      </c>
    </row>
    <row r="84" spans="2:2">
      <c r="B84" s="249" t="s">
        <v>1844</v>
      </c>
    </row>
    <row r="85" spans="2:2">
      <c r="B85" s="249" t="s">
        <v>1845</v>
      </c>
    </row>
    <row r="86" spans="2:2">
      <c r="B86" s="249" t="s">
        <v>1846</v>
      </c>
    </row>
    <row r="87" spans="2:2">
      <c r="B87" s="249" t="s">
        <v>1847</v>
      </c>
    </row>
    <row r="88" spans="2:2">
      <c r="B88" s="249" t="s">
        <v>1848</v>
      </c>
    </row>
    <row r="89" spans="2:2">
      <c r="B89" s="249" t="s">
        <v>1849</v>
      </c>
    </row>
    <row r="90" spans="2:2">
      <c r="B90" s="249" t="s">
        <v>1850</v>
      </c>
    </row>
    <row r="91" spans="2:2">
      <c r="B91" s="249" t="s">
        <v>1851</v>
      </c>
    </row>
    <row r="92" spans="2:2">
      <c r="B92" s="249" t="s">
        <v>1852</v>
      </c>
    </row>
    <row r="93" spans="2:2">
      <c r="B93" s="249" t="s">
        <v>1853</v>
      </c>
    </row>
    <row r="94" spans="2:2">
      <c r="B94" s="249" t="s">
        <v>1854</v>
      </c>
    </row>
    <row r="95" spans="2:2">
      <c r="B95" s="249" t="s">
        <v>1855</v>
      </c>
    </row>
    <row r="96" spans="2:2">
      <c r="B96" s="249" t="s">
        <v>1856</v>
      </c>
    </row>
    <row r="97" spans="2:2">
      <c r="B97" s="249" t="s">
        <v>1857</v>
      </c>
    </row>
    <row r="98" spans="2:2">
      <c r="B98" s="250" t="s">
        <v>1858</v>
      </c>
    </row>
    <row r="99" spans="2:2">
      <c r="B99" s="249" t="s">
        <v>1859</v>
      </c>
    </row>
    <row r="100" spans="2:2">
      <c r="B100" s="249" t="s">
        <v>1860</v>
      </c>
    </row>
    <row r="101" spans="2:2">
      <c r="B101" s="249" t="s">
        <v>1861</v>
      </c>
    </row>
    <row r="102" spans="2:2">
      <c r="B102" s="249" t="s">
        <v>1862</v>
      </c>
    </row>
    <row r="103" spans="2:2">
      <c r="B103" s="249" t="s">
        <v>1863</v>
      </c>
    </row>
    <row r="104" spans="2:2">
      <c r="B104" s="249" t="s">
        <v>1864</v>
      </c>
    </row>
    <row r="105" spans="2:2">
      <c r="B105" s="249" t="s">
        <v>1865</v>
      </c>
    </row>
    <row r="106" spans="2:2">
      <c r="B106" s="249" t="s">
        <v>1866</v>
      </c>
    </row>
    <row r="107" spans="2:2">
      <c r="B107" s="249" t="s">
        <v>1867</v>
      </c>
    </row>
    <row r="108" spans="2:2">
      <c r="B108" s="249" t="s">
        <v>1868</v>
      </c>
    </row>
    <row r="109" spans="2:2">
      <c r="B109" s="249" t="s">
        <v>1869</v>
      </c>
    </row>
    <row r="110" spans="2:2">
      <c r="B110" s="249" t="s">
        <v>1870</v>
      </c>
    </row>
    <row r="111" spans="2:2">
      <c r="B111" s="249" t="s">
        <v>1871</v>
      </c>
    </row>
    <row r="112" spans="2:2">
      <c r="B112" s="249" t="s">
        <v>1872</v>
      </c>
    </row>
    <row r="113" spans="2:2">
      <c r="B113" s="249" t="s">
        <v>1873</v>
      </c>
    </row>
    <row r="114" spans="2:2">
      <c r="B114" s="249" t="s">
        <v>1874</v>
      </c>
    </row>
    <row r="115" spans="2:2">
      <c r="B115" s="249" t="s">
        <v>1875</v>
      </c>
    </row>
    <row r="116" spans="2:2">
      <c r="B116" s="249" t="s">
        <v>1876</v>
      </c>
    </row>
    <row r="117" spans="2:2">
      <c r="B117" s="249" t="s">
        <v>1877</v>
      </c>
    </row>
    <row r="118" spans="2:2">
      <c r="B118" s="249" t="s">
        <v>1878</v>
      </c>
    </row>
    <row r="119" spans="2:2">
      <c r="B119" s="249" t="s">
        <v>1879</v>
      </c>
    </row>
    <row r="120" spans="2:2">
      <c r="B120" s="249" t="s">
        <v>1880</v>
      </c>
    </row>
    <row r="121" spans="2:2">
      <c r="B121" s="249" t="s">
        <v>1881</v>
      </c>
    </row>
    <row r="122" spans="2:2">
      <c r="B122" s="249" t="s">
        <v>1882</v>
      </c>
    </row>
    <row r="123" spans="2:2">
      <c r="B123" s="249" t="s">
        <v>1883</v>
      </c>
    </row>
    <row r="124" spans="2:2">
      <c r="B124" s="249" t="s">
        <v>1884</v>
      </c>
    </row>
    <row r="125" spans="2:2">
      <c r="B125" s="249" t="s">
        <v>1885</v>
      </c>
    </row>
    <row r="126" spans="2:2">
      <c r="B126" s="249" t="s">
        <v>1886</v>
      </c>
    </row>
    <row r="127" spans="2:2">
      <c r="B127" s="249" t="s">
        <v>1887</v>
      </c>
    </row>
    <row r="128" spans="2:2">
      <c r="B128" s="249" t="s">
        <v>1888</v>
      </c>
    </row>
    <row r="129" spans="2:2">
      <c r="B129" s="249" t="s">
        <v>1889</v>
      </c>
    </row>
    <row r="130" spans="2:2">
      <c r="B130" s="249" t="s">
        <v>1890</v>
      </c>
    </row>
    <row r="131" spans="2:2">
      <c r="B131" s="249" t="s">
        <v>1891</v>
      </c>
    </row>
    <row r="132" spans="2:2">
      <c r="B132" s="249" t="s">
        <v>1892</v>
      </c>
    </row>
    <row r="133" spans="2:2">
      <c r="B133" s="249" t="s">
        <v>1893</v>
      </c>
    </row>
    <row r="134" spans="2:2">
      <c r="B134" s="249" t="s">
        <v>1894</v>
      </c>
    </row>
    <row r="135" spans="2:2">
      <c r="B135" s="249" t="s">
        <v>1895</v>
      </c>
    </row>
    <row r="136" spans="2:2">
      <c r="B136" s="249" t="s">
        <v>1896</v>
      </c>
    </row>
    <row r="137" spans="2:2">
      <c r="B137" s="249" t="s">
        <v>1897</v>
      </c>
    </row>
    <row r="138" spans="2:2">
      <c r="B138" s="249" t="s">
        <v>1898</v>
      </c>
    </row>
    <row r="139" spans="2:2">
      <c r="B139" s="249" t="s">
        <v>1899</v>
      </c>
    </row>
    <row r="140" spans="2:2">
      <c r="B140" s="249" t="s">
        <v>1900</v>
      </c>
    </row>
    <row r="141" spans="2:2">
      <c r="B141" s="249" t="s">
        <v>1901</v>
      </c>
    </row>
    <row r="142" spans="2:2">
      <c r="B142" s="249" t="s">
        <v>1902</v>
      </c>
    </row>
    <row r="143" spans="2:2">
      <c r="B143" s="249" t="s">
        <v>1903</v>
      </c>
    </row>
    <row r="144" spans="2:2">
      <c r="B144" s="249" t="s">
        <v>1904</v>
      </c>
    </row>
    <row r="145" spans="2:2">
      <c r="B145" s="249" t="s">
        <v>1905</v>
      </c>
    </row>
    <row r="146" spans="2:2">
      <c r="B146" s="249" t="s">
        <v>1906</v>
      </c>
    </row>
    <row r="147" spans="2:2">
      <c r="B147" s="249" t="s">
        <v>1907</v>
      </c>
    </row>
    <row r="148" spans="2:2">
      <c r="B148" s="249" t="s">
        <v>1908</v>
      </c>
    </row>
    <row r="149" spans="2:2">
      <c r="B149" s="249" t="s">
        <v>2017</v>
      </c>
    </row>
    <row r="150" spans="2:2">
      <c r="B150" s="249" t="s">
        <v>1909</v>
      </c>
    </row>
    <row r="151" spans="2:2">
      <c r="B151" s="249" t="s">
        <v>1910</v>
      </c>
    </row>
    <row r="152" spans="2:2">
      <c r="B152" s="249" t="s">
        <v>1911</v>
      </c>
    </row>
    <row r="153" spans="2:2">
      <c r="B153" s="249" t="s">
        <v>1912</v>
      </c>
    </row>
    <row r="154" spans="2:2">
      <c r="B154" s="249" t="s">
        <v>1913</v>
      </c>
    </row>
    <row r="155" spans="2:2">
      <c r="B155" s="249" t="s">
        <v>1914</v>
      </c>
    </row>
    <row r="156" spans="2:2">
      <c r="B156" s="249" t="s">
        <v>1915</v>
      </c>
    </row>
    <row r="157" spans="2:2">
      <c r="B157" s="249" t="s">
        <v>1916</v>
      </c>
    </row>
    <row r="158" spans="2:2">
      <c r="B158" s="249" t="s">
        <v>1917</v>
      </c>
    </row>
    <row r="159" spans="2:2">
      <c r="B159" s="249" t="s">
        <v>1918</v>
      </c>
    </row>
    <row r="160" spans="2:2">
      <c r="B160" s="249" t="s">
        <v>1919</v>
      </c>
    </row>
    <row r="161" spans="2:2">
      <c r="B161" s="249" t="s">
        <v>1920</v>
      </c>
    </row>
    <row r="162" spans="2:2">
      <c r="B162" s="249" t="s">
        <v>1921</v>
      </c>
    </row>
    <row r="163" spans="2:2">
      <c r="B163" s="249" t="s">
        <v>1922</v>
      </c>
    </row>
    <row r="164" spans="2:2">
      <c r="B164" s="249" t="s">
        <v>1923</v>
      </c>
    </row>
    <row r="165" spans="2:2">
      <c r="B165" s="249" t="s">
        <v>1924</v>
      </c>
    </row>
    <row r="166" spans="2:2">
      <c r="B166" s="249" t="s">
        <v>1925</v>
      </c>
    </row>
    <row r="167" spans="2:2">
      <c r="B167" s="249" t="s">
        <v>1926</v>
      </c>
    </row>
    <row r="168" spans="2:2">
      <c r="B168" s="249" t="s">
        <v>1927</v>
      </c>
    </row>
    <row r="169" spans="2:2">
      <c r="B169" s="249" t="s">
        <v>1928</v>
      </c>
    </row>
    <row r="170" spans="2:2">
      <c r="B170" s="249" t="s">
        <v>1929</v>
      </c>
    </row>
    <row r="171" spans="2:2">
      <c r="B171" s="249" t="s">
        <v>1930</v>
      </c>
    </row>
    <row r="172" spans="2:2">
      <c r="B172" s="249" t="s">
        <v>1931</v>
      </c>
    </row>
    <row r="173" spans="2:2">
      <c r="B173" s="249" t="s">
        <v>1932</v>
      </c>
    </row>
    <row r="174" spans="2:2">
      <c r="B174" s="249" t="s">
        <v>1933</v>
      </c>
    </row>
    <row r="175" spans="2:2">
      <c r="B175" s="249" t="s">
        <v>1934</v>
      </c>
    </row>
    <row r="176" spans="2:2">
      <c r="B176" s="249" t="s">
        <v>1935</v>
      </c>
    </row>
    <row r="177" spans="2:2">
      <c r="B177" s="249" t="s">
        <v>1936</v>
      </c>
    </row>
    <row r="178" spans="2:2">
      <c r="B178" s="249" t="s">
        <v>1937</v>
      </c>
    </row>
    <row r="179" spans="2:2">
      <c r="B179" s="249" t="s">
        <v>1938</v>
      </c>
    </row>
    <row r="180" spans="2:2">
      <c r="B180" s="249" t="s">
        <v>1939</v>
      </c>
    </row>
    <row r="181" spans="2:2">
      <c r="B181" s="249" t="s">
        <v>1940</v>
      </c>
    </row>
    <row r="182" spans="2:2">
      <c r="B182" s="249" t="s">
        <v>1941</v>
      </c>
    </row>
    <row r="183" spans="2:2">
      <c r="B183" s="249" t="s">
        <v>1942</v>
      </c>
    </row>
    <row r="184" spans="2:2">
      <c r="B184" s="249" t="s">
        <v>1943</v>
      </c>
    </row>
    <row r="185" spans="2:2">
      <c r="B185" s="249" t="s">
        <v>1944</v>
      </c>
    </row>
    <row r="186" spans="2:2">
      <c r="B186" s="249" t="s">
        <v>1945</v>
      </c>
    </row>
    <row r="187" spans="2:2">
      <c r="B187" s="249" t="s">
        <v>1946</v>
      </c>
    </row>
    <row r="188" spans="2:2">
      <c r="B188" s="249" t="s">
        <v>1947</v>
      </c>
    </row>
    <row r="189" spans="2:2">
      <c r="B189" s="249" t="s">
        <v>1948</v>
      </c>
    </row>
    <row r="190" spans="2:2">
      <c r="B190" s="249" t="s">
        <v>1949</v>
      </c>
    </row>
    <row r="191" spans="2:2">
      <c r="B191" s="249" t="s">
        <v>1950</v>
      </c>
    </row>
    <row r="192" spans="2:2">
      <c r="B192" s="249" t="s">
        <v>1951</v>
      </c>
    </row>
    <row r="193" spans="2:2">
      <c r="B193" s="249" t="s">
        <v>1952</v>
      </c>
    </row>
    <row r="194" spans="2:2">
      <c r="B194" s="249" t="s">
        <v>1953</v>
      </c>
    </row>
    <row r="195" spans="2:2">
      <c r="B195" s="249" t="s">
        <v>1954</v>
      </c>
    </row>
    <row r="196" spans="2:2">
      <c r="B196" s="249" t="s">
        <v>1955</v>
      </c>
    </row>
    <row r="197" spans="2:2">
      <c r="B197" s="249" t="s">
        <v>1956</v>
      </c>
    </row>
    <row r="198" spans="2:2">
      <c r="B198" s="249" t="s">
        <v>1957</v>
      </c>
    </row>
    <row r="199" spans="2:2">
      <c r="B199" s="249" t="s">
        <v>1958</v>
      </c>
    </row>
    <row r="200" spans="2:2">
      <c r="B200" s="249" t="s">
        <v>1959</v>
      </c>
    </row>
    <row r="201" spans="2:2">
      <c r="B201" s="249" t="s">
        <v>1960</v>
      </c>
    </row>
    <row r="202" spans="2:2">
      <c r="B202" s="249" t="s">
        <v>1961</v>
      </c>
    </row>
    <row r="203" spans="2:2">
      <c r="B203" s="249" t="s">
        <v>1962</v>
      </c>
    </row>
    <row r="204" spans="2:2">
      <c r="B204" s="249" t="s">
        <v>1963</v>
      </c>
    </row>
    <row r="205" spans="2:2">
      <c r="B205" s="249" t="s">
        <v>1964</v>
      </c>
    </row>
    <row r="206" spans="2:2">
      <c r="B206" s="249" t="s">
        <v>1965</v>
      </c>
    </row>
    <row r="207" spans="2:2">
      <c r="B207" s="249" t="s">
        <v>1966</v>
      </c>
    </row>
    <row r="208" spans="2:2">
      <c r="B208" s="249" t="s">
        <v>1967</v>
      </c>
    </row>
    <row r="209" spans="2:2">
      <c r="B209" s="249" t="s">
        <v>1968</v>
      </c>
    </row>
    <row r="210" spans="2:2">
      <c r="B210" s="249" t="s">
        <v>1969</v>
      </c>
    </row>
    <row r="211" spans="2:2">
      <c r="B211" s="249" t="s">
        <v>1970</v>
      </c>
    </row>
    <row r="212" spans="2:2">
      <c r="B212" s="249" t="s">
        <v>1971</v>
      </c>
    </row>
    <row r="213" spans="2:2">
      <c r="B213" s="249" t="s">
        <v>1972</v>
      </c>
    </row>
    <row r="214" spans="2:2">
      <c r="B214" s="249" t="s">
        <v>1973</v>
      </c>
    </row>
    <row r="215" spans="2:2">
      <c r="B215" s="249" t="s">
        <v>1974</v>
      </c>
    </row>
    <row r="216" spans="2:2">
      <c r="B216" s="249" t="s">
        <v>1975</v>
      </c>
    </row>
    <row r="217" spans="2:2">
      <c r="B217" s="249" t="s">
        <v>1976</v>
      </c>
    </row>
    <row r="218" spans="2:2">
      <c r="B218" s="249" t="s">
        <v>1977</v>
      </c>
    </row>
    <row r="219" spans="2:2">
      <c r="B219" s="249" t="s">
        <v>1978</v>
      </c>
    </row>
    <row r="220" spans="2:2">
      <c r="B220" s="249" t="s">
        <v>1979</v>
      </c>
    </row>
    <row r="221" spans="2:2">
      <c r="B221" s="249" t="s">
        <v>1980</v>
      </c>
    </row>
    <row r="222" spans="2:2">
      <c r="B222" s="249" t="s">
        <v>1981</v>
      </c>
    </row>
    <row r="223" spans="2:2">
      <c r="B223" s="249" t="s">
        <v>1982</v>
      </c>
    </row>
    <row r="224" spans="2:2">
      <c r="B224" s="249" t="s">
        <v>1983</v>
      </c>
    </row>
    <row r="225" spans="2:2">
      <c r="B225" s="249" t="s">
        <v>1984</v>
      </c>
    </row>
    <row r="226" spans="2:2">
      <c r="B226" s="249" t="s">
        <v>1985</v>
      </c>
    </row>
    <row r="227" spans="2:2">
      <c r="B227" s="249" t="s">
        <v>1986</v>
      </c>
    </row>
    <row r="228" spans="2:2">
      <c r="B228" s="249" t="s">
        <v>1987</v>
      </c>
    </row>
    <row r="229" spans="2:2">
      <c r="B229" s="249" t="s">
        <v>1988</v>
      </c>
    </row>
    <row r="230" spans="2:2">
      <c r="B230" s="249" t="s">
        <v>1989</v>
      </c>
    </row>
    <row r="231" spans="2:2">
      <c r="B231" s="249" t="s">
        <v>1990</v>
      </c>
    </row>
    <row r="232" spans="2:2">
      <c r="B232" s="249" t="s">
        <v>1991</v>
      </c>
    </row>
    <row r="233" spans="2:2">
      <c r="B233" s="249" t="s">
        <v>1992</v>
      </c>
    </row>
    <row r="234" spans="2:2">
      <c r="B234" s="249" t="s">
        <v>1993</v>
      </c>
    </row>
    <row r="235" spans="2:2">
      <c r="B235" s="249" t="s">
        <v>1994</v>
      </c>
    </row>
    <row r="236" spans="2:2">
      <c r="B236" s="249" t="s">
        <v>1995</v>
      </c>
    </row>
    <row r="237" spans="2:2">
      <c r="B237" s="249" t="s">
        <v>1996</v>
      </c>
    </row>
    <row r="238" spans="2:2">
      <c r="B238" s="249" t="s">
        <v>1997</v>
      </c>
    </row>
    <row r="239" spans="2:2">
      <c r="B239" s="249" t="s">
        <v>1998</v>
      </c>
    </row>
    <row r="240" spans="2:2">
      <c r="B240" s="249" t="s">
        <v>1999</v>
      </c>
    </row>
    <row r="241" spans="2:2">
      <c r="B241" s="249" t="s">
        <v>2000</v>
      </c>
    </row>
    <row r="242" spans="2:2">
      <c r="B242" s="249" t="s">
        <v>2001</v>
      </c>
    </row>
    <row r="243" spans="2:2">
      <c r="B243" s="249" t="s">
        <v>2002</v>
      </c>
    </row>
    <row r="244" spans="2:2">
      <c r="B244" s="249" t="s">
        <v>2003</v>
      </c>
    </row>
    <row r="245" spans="2:2">
      <c r="B245" s="249" t="s">
        <v>2004</v>
      </c>
    </row>
    <row r="246" spans="2:2">
      <c r="B246" s="249" t="s">
        <v>2005</v>
      </c>
    </row>
    <row r="247" spans="2:2">
      <c r="B247" s="249" t="s">
        <v>2006</v>
      </c>
    </row>
    <row r="248" spans="2:2">
      <c r="B248" s="249" t="s">
        <v>2007</v>
      </c>
    </row>
    <row r="249" spans="2:2">
      <c r="B249" s="249" t="s">
        <v>2008</v>
      </c>
    </row>
    <row r="250" spans="2:2">
      <c r="B250" s="250" t="s">
        <v>2009</v>
      </c>
    </row>
    <row r="251" spans="2:2">
      <c r="B251" s="249" t="s">
        <v>2010</v>
      </c>
    </row>
    <row r="252" spans="2:2">
      <c r="B252" s="249" t="s">
        <v>2018</v>
      </c>
    </row>
    <row r="253" spans="2:2">
      <c r="B253" s="249" t="s">
        <v>2011</v>
      </c>
    </row>
    <row r="254" spans="2:2">
      <c r="B254" s="249" t="s">
        <v>2012</v>
      </c>
    </row>
    <row r="255" spans="2:2">
      <c r="B255" s="249" t="s">
        <v>2013</v>
      </c>
    </row>
    <row r="256" spans="2:2">
      <c r="B256" s="249" t="s">
        <v>2014</v>
      </c>
    </row>
  </sheetData>
  <sortState xmlns:xlrd2="http://schemas.microsoft.com/office/spreadsheetml/2017/richdata2" ref="K22:K28">
    <sortCondition ref="K22:K28"/>
  </sortSt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1F9A-8519-4830-B889-6D0EAA7C7EE4}">
  <dimension ref="A1"/>
  <sheetViews>
    <sheetView workbookViewId="0"/>
  </sheetViews>
  <sheetFormatPr baseColWidth="10" defaultColWidth="9.140625" defaultRowHeight="1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13</vt:i4>
      </vt:variant>
    </vt:vector>
  </HeadingPairs>
  <TitlesOfParts>
    <vt:vector size="38" baseType="lpstr">
      <vt:lpstr>FORMULARIO</vt:lpstr>
      <vt:lpstr>DATOS</vt:lpstr>
      <vt:lpstr>Cumplimiento</vt:lpstr>
      <vt:lpstr>Nacionalidad</vt:lpstr>
      <vt:lpstr>Cumplimiento File</vt:lpstr>
      <vt:lpstr>CTC Pers. Natural</vt:lpstr>
      <vt:lpstr>REQUISITOS DEBIDA DILIGENCIA</vt:lpstr>
      <vt:lpstr>PORTADA FILE VENTAS</vt:lpstr>
      <vt:lpstr>CONTRATO AUT COMO ESTA </vt:lpstr>
      <vt:lpstr>DECLARACION DOMICILIO </vt:lpstr>
      <vt:lpstr>DECLARACION ACTIVIDAD</vt:lpstr>
      <vt:lpstr>PAGO FAMILIARES</vt:lpstr>
      <vt:lpstr>PAGO TERCEROS</vt:lpstr>
      <vt:lpstr>RTE Pers. Natural</vt:lpstr>
      <vt:lpstr>TRASPASO PN</vt:lpstr>
      <vt:lpstr>TRASPASO PJ</vt:lpstr>
      <vt:lpstr>FILE DOC AUTO</vt:lpstr>
      <vt:lpstr>REC CONF - EXONER.</vt:lpstr>
      <vt:lpstr>AUT TRAS RDLG MUNIC</vt:lpstr>
      <vt:lpstr>Hoja2</vt:lpstr>
      <vt:lpstr>Hoja3</vt:lpstr>
      <vt:lpstr>AUT TRAS RDLG REG</vt:lpstr>
      <vt:lpstr>DETALLE TRANSACCION PAGO</vt:lpstr>
      <vt:lpstr>CATÁLOGO</vt:lpstr>
      <vt:lpstr>Sheet8</vt:lpstr>
      <vt:lpstr>'CONTRATO AUT COMO ESTA '!Área_de_impresión</vt:lpstr>
      <vt:lpstr>'CTC Pers. Natural'!Área_de_impresión</vt:lpstr>
      <vt:lpstr>'DECLARACION ACTIVIDAD'!Área_de_impresión</vt:lpstr>
      <vt:lpstr>'DECLARACION DOMICILIO '!Área_de_impresión</vt:lpstr>
      <vt:lpstr>'FILE DOC AUTO'!Área_de_impresión</vt:lpstr>
      <vt:lpstr>'PAGO FAMILIARES'!Área_de_impresión</vt:lpstr>
      <vt:lpstr>'PAGO TERCEROS'!Área_de_impresión</vt:lpstr>
      <vt:lpstr>'PORTADA FILE VENTAS'!Área_de_impresión</vt:lpstr>
      <vt:lpstr>'RTE Pers. Natural'!Área_de_impresión</vt:lpstr>
      <vt:lpstr>'TRASPASO PJ'!Área_de_impresión</vt:lpstr>
      <vt:lpstr>'TRASPASO PN'!Área_de_impresión</vt:lpstr>
      <vt:lpstr>Pais</vt:lpstr>
      <vt:lpstr>Vendedor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Pedro Arrieta</cp:lastModifiedBy>
  <cp:lastPrinted>2021-09-07T15:03:25Z</cp:lastPrinted>
  <dcterms:created xsi:type="dcterms:W3CDTF">2011-07-26T22:13:17Z</dcterms:created>
  <dcterms:modified xsi:type="dcterms:W3CDTF">2023-04-25T17:06:15Z</dcterms:modified>
</cp:coreProperties>
</file>